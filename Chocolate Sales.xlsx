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B9A67E3-0F08-4D46-ACB8-AFC82C63371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lassification" sheetId="5" r:id="rId1"/>
    <sheet name="Data" sheetId="1" state="hidden" r:id="rId2"/>
    <sheet name="Clean Data Use of formulas" sheetId="4" r:id="rId3"/>
  </sheets>
  <definedNames>
    <definedName name="Sales_Data">'Clean Data Use of formulas'!$A$1:$L$50</definedName>
  </definedNames>
  <calcPr calcId="181029"/>
</workbook>
</file>

<file path=xl/calcChain.xml><?xml version="1.0" encoding="utf-8"?>
<calcChain xmlns="http://schemas.openxmlformats.org/spreadsheetml/2006/main">
  <c r="K2" i="4" l="1"/>
  <c r="L50" i="4"/>
  <c r="K50" i="4"/>
  <c r="I50" i="4"/>
  <c r="F50" i="4"/>
  <c r="C50" i="4"/>
  <c r="L49" i="4"/>
  <c r="K49" i="4"/>
  <c r="I49" i="4"/>
  <c r="F49" i="4"/>
  <c r="C49" i="4"/>
  <c r="L48" i="4"/>
  <c r="K48" i="4"/>
  <c r="I48" i="4"/>
  <c r="F48" i="4"/>
  <c r="C48" i="4"/>
  <c r="L47" i="4"/>
  <c r="K47" i="4"/>
  <c r="I47" i="4"/>
  <c r="F47" i="4"/>
  <c r="C47" i="4"/>
  <c r="L46" i="4"/>
  <c r="K46" i="4"/>
  <c r="I46" i="4"/>
  <c r="F46" i="4"/>
  <c r="C46" i="4"/>
  <c r="L45" i="4"/>
  <c r="K45" i="4"/>
  <c r="I45" i="4"/>
  <c r="F45" i="4"/>
  <c r="C45" i="4"/>
  <c r="L44" i="4"/>
  <c r="K44" i="4"/>
  <c r="I44" i="4"/>
  <c r="F44" i="4"/>
  <c r="C44" i="4"/>
  <c r="L43" i="4"/>
  <c r="K43" i="4"/>
  <c r="I43" i="4"/>
  <c r="F43" i="4"/>
  <c r="C43" i="4"/>
  <c r="L42" i="4"/>
  <c r="K42" i="4"/>
  <c r="I42" i="4"/>
  <c r="F42" i="4"/>
  <c r="C42" i="4"/>
  <c r="L41" i="4"/>
  <c r="K41" i="4"/>
  <c r="I41" i="4"/>
  <c r="F41" i="4"/>
  <c r="C41" i="4"/>
  <c r="L40" i="4"/>
  <c r="K40" i="4"/>
  <c r="I40" i="4"/>
  <c r="F40" i="4"/>
  <c r="C40" i="4"/>
  <c r="L39" i="4"/>
  <c r="K39" i="4"/>
  <c r="I39" i="4"/>
  <c r="F39" i="4"/>
  <c r="C39" i="4"/>
  <c r="L38" i="4"/>
  <c r="K38" i="4"/>
  <c r="I38" i="4"/>
  <c r="F38" i="4"/>
  <c r="C38" i="4"/>
  <c r="L37" i="4"/>
  <c r="K37" i="4"/>
  <c r="I37" i="4"/>
  <c r="F37" i="4"/>
  <c r="C37" i="4"/>
  <c r="L36" i="4"/>
  <c r="K36" i="4"/>
  <c r="I36" i="4"/>
  <c r="F36" i="4"/>
  <c r="C36" i="4"/>
  <c r="L35" i="4"/>
  <c r="K35" i="4"/>
  <c r="I35" i="4"/>
  <c r="F35" i="4"/>
  <c r="C35" i="4"/>
  <c r="L34" i="4"/>
  <c r="K34" i="4"/>
  <c r="I34" i="4"/>
  <c r="F34" i="4"/>
  <c r="C34" i="4"/>
  <c r="L33" i="4"/>
  <c r="K33" i="4"/>
  <c r="I33" i="4"/>
  <c r="F33" i="4"/>
  <c r="C33" i="4"/>
  <c r="L32" i="4"/>
  <c r="K32" i="4"/>
  <c r="I32" i="4"/>
  <c r="F32" i="4"/>
  <c r="C32" i="4"/>
  <c r="L31" i="4"/>
  <c r="K31" i="4"/>
  <c r="I31" i="4"/>
  <c r="F31" i="4"/>
  <c r="C31" i="4"/>
  <c r="L30" i="4"/>
  <c r="K30" i="4"/>
  <c r="I30" i="4"/>
  <c r="F30" i="4"/>
  <c r="C30" i="4"/>
  <c r="L29" i="4"/>
  <c r="K29" i="4"/>
  <c r="I29" i="4"/>
  <c r="F29" i="4"/>
  <c r="C29" i="4"/>
  <c r="L28" i="4"/>
  <c r="K28" i="4"/>
  <c r="I28" i="4"/>
  <c r="F28" i="4"/>
  <c r="C28" i="4"/>
  <c r="L27" i="4"/>
  <c r="K27" i="4"/>
  <c r="I27" i="4"/>
  <c r="F27" i="4"/>
  <c r="C27" i="4"/>
  <c r="L26" i="4"/>
  <c r="K26" i="4"/>
  <c r="I26" i="4"/>
  <c r="F26" i="4"/>
  <c r="C26" i="4"/>
  <c r="L25" i="4"/>
  <c r="K25" i="4"/>
  <c r="I25" i="4"/>
  <c r="F25" i="4"/>
  <c r="C25" i="4"/>
  <c r="L24" i="4"/>
  <c r="K24" i="4"/>
  <c r="I24" i="4"/>
  <c r="F24" i="4"/>
  <c r="C24" i="4"/>
  <c r="L23" i="4"/>
  <c r="K23" i="4"/>
  <c r="I23" i="4"/>
  <c r="F23" i="4"/>
  <c r="C23" i="4"/>
  <c r="L22" i="4"/>
  <c r="K22" i="4"/>
  <c r="I22" i="4"/>
  <c r="F22" i="4"/>
  <c r="C22" i="4"/>
  <c r="L21" i="4"/>
  <c r="K21" i="4"/>
  <c r="I21" i="4"/>
  <c r="F21" i="4"/>
  <c r="C21" i="4"/>
  <c r="L20" i="4"/>
  <c r="K20" i="4"/>
  <c r="I20" i="4"/>
  <c r="F20" i="4"/>
  <c r="C20" i="4"/>
  <c r="L19" i="4"/>
  <c r="K19" i="4"/>
  <c r="I19" i="4"/>
  <c r="F19" i="4"/>
  <c r="C19" i="4"/>
  <c r="L18" i="4"/>
  <c r="K18" i="4"/>
  <c r="I18" i="4"/>
  <c r="F18" i="4"/>
  <c r="C18" i="4"/>
  <c r="L17" i="4"/>
  <c r="K17" i="4"/>
  <c r="I17" i="4"/>
  <c r="F17" i="4"/>
  <c r="C17" i="4"/>
  <c r="L16" i="4"/>
  <c r="K16" i="4"/>
  <c r="I16" i="4"/>
  <c r="F16" i="4"/>
  <c r="C16" i="4"/>
  <c r="L15" i="4"/>
  <c r="K15" i="4"/>
  <c r="I15" i="4"/>
  <c r="F15" i="4"/>
  <c r="C15" i="4"/>
  <c r="L14" i="4"/>
  <c r="K14" i="4"/>
  <c r="I14" i="4"/>
  <c r="F14" i="4"/>
  <c r="C14" i="4"/>
  <c r="L13" i="4"/>
  <c r="K13" i="4"/>
  <c r="I13" i="4"/>
  <c r="F13" i="4"/>
  <c r="C13" i="4"/>
  <c r="L12" i="4"/>
  <c r="K12" i="4"/>
  <c r="I12" i="4"/>
  <c r="F12" i="4"/>
  <c r="C12" i="4"/>
  <c r="O11" i="4"/>
  <c r="L11" i="4"/>
  <c r="K11" i="4"/>
  <c r="I11" i="4"/>
  <c r="F11" i="4"/>
  <c r="C11" i="4"/>
  <c r="L10" i="4"/>
  <c r="K10" i="4"/>
  <c r="I10" i="4"/>
  <c r="F10" i="4"/>
  <c r="C10" i="4"/>
  <c r="L9" i="4"/>
  <c r="K9" i="4"/>
  <c r="I9" i="4"/>
  <c r="F9" i="4"/>
  <c r="C9" i="4"/>
  <c r="O8" i="4"/>
  <c r="L8" i="4"/>
  <c r="K8" i="4"/>
  <c r="I8" i="4"/>
  <c r="F8" i="4"/>
  <c r="C8" i="4"/>
  <c r="L7" i="4"/>
  <c r="K7" i="4"/>
  <c r="I7" i="4"/>
  <c r="F7" i="4"/>
  <c r="C7" i="4"/>
  <c r="O6" i="4"/>
  <c r="L6" i="4"/>
  <c r="K6" i="4"/>
  <c r="I6" i="4"/>
  <c r="F6" i="4"/>
  <c r="C6" i="4"/>
  <c r="L5" i="4"/>
  <c r="K5" i="4"/>
  <c r="I5" i="4"/>
  <c r="F5" i="4"/>
  <c r="C5" i="4"/>
  <c r="O4" i="4"/>
  <c r="L4" i="4"/>
  <c r="K4" i="4"/>
  <c r="I4" i="4"/>
  <c r="F4" i="4"/>
  <c r="C4" i="4"/>
  <c r="L3" i="4"/>
  <c r="K3" i="4"/>
  <c r="I3" i="4"/>
  <c r="F3" i="4"/>
  <c r="C3" i="4"/>
  <c r="O2" i="4"/>
  <c r="L2" i="4"/>
  <c r="I2" i="4"/>
  <c r="F2" i="4"/>
  <c r="C2" i="4"/>
</calcChain>
</file>

<file path=xl/sharedStrings.xml><?xml version="1.0" encoding="utf-8"?>
<sst xmlns="http://schemas.openxmlformats.org/spreadsheetml/2006/main" count="422" uniqueCount="97">
  <si>
    <t>Pickup</t>
  </si>
  <si>
    <t>Road</t>
  </si>
  <si>
    <t>Courier</t>
  </si>
  <si>
    <t>Air</t>
  </si>
  <si>
    <t>Sea</t>
  </si>
  <si>
    <t>Truck</t>
  </si>
  <si>
    <t>First Name</t>
  </si>
  <si>
    <t>Second Name</t>
  </si>
  <si>
    <t>Country</t>
  </si>
  <si>
    <t>Product</t>
  </si>
  <si>
    <t>Date</t>
  </si>
  <si>
    <t>Amount</t>
  </si>
  <si>
    <t>Boxes Shipped</t>
  </si>
  <si>
    <t>Jehu</t>
  </si>
  <si>
    <t>Rudeforth</t>
  </si>
  <si>
    <t>UK</t>
  </si>
  <si>
    <t>Mint Chip Choco</t>
  </si>
  <si>
    <t>VAN</t>
  </si>
  <si>
    <t>Tuxwell</t>
  </si>
  <si>
    <t>India</t>
  </si>
  <si>
    <t>85% Dark Bars</t>
  </si>
  <si>
    <t>Gigi</t>
  </si>
  <si>
    <t>Bohling</t>
  </si>
  <si>
    <t>Peanut Butter Cubes</t>
  </si>
  <si>
    <t>Jan</t>
  </si>
  <si>
    <t>MORFORTH</t>
  </si>
  <si>
    <t>Australia</t>
  </si>
  <si>
    <t>Van</t>
  </si>
  <si>
    <t>Smooth Sliky Salty</t>
  </si>
  <si>
    <t>Oby</t>
  </si>
  <si>
    <t>sorrel</t>
  </si>
  <si>
    <t>99% Dark &amp; Pure</t>
  </si>
  <si>
    <t>Gunar</t>
  </si>
  <si>
    <t>Cockshoot</t>
  </si>
  <si>
    <t>After Nines</t>
  </si>
  <si>
    <t>JEHU</t>
  </si>
  <si>
    <t>New Zealand</t>
  </si>
  <si>
    <t>50% Dark Bites</t>
  </si>
  <si>
    <t>Brien</t>
  </si>
  <si>
    <t>Boise</t>
  </si>
  <si>
    <t>Rafaelita</t>
  </si>
  <si>
    <t>Blaksland</t>
  </si>
  <si>
    <t>Barr</t>
  </si>
  <si>
    <t>Faughny</t>
  </si>
  <si>
    <t>USA</t>
  </si>
  <si>
    <t>Orange Choco</t>
  </si>
  <si>
    <t>Mallorie</t>
  </si>
  <si>
    <t>Waber</t>
  </si>
  <si>
    <t>Canada</t>
  </si>
  <si>
    <t>Eclairs</t>
  </si>
  <si>
    <t>Karlen</t>
  </si>
  <si>
    <t>McCaffrey</t>
  </si>
  <si>
    <t>Drinking Coco</t>
  </si>
  <si>
    <t>Marney</t>
  </si>
  <si>
    <t>O'Breen</t>
  </si>
  <si>
    <t>Beverie</t>
  </si>
  <si>
    <t>Moffet</t>
  </si>
  <si>
    <t>Organic Choco Syrup</t>
  </si>
  <si>
    <t>Roddy</t>
  </si>
  <si>
    <t>Speechley</t>
  </si>
  <si>
    <t>Milk Bars</t>
  </si>
  <si>
    <t>CURTICE</t>
  </si>
  <si>
    <t>Advani</t>
  </si>
  <si>
    <t>Spicy Special Slims</t>
  </si>
  <si>
    <t>Husein</t>
  </si>
  <si>
    <t>Augar</t>
  </si>
  <si>
    <t>Kaine</t>
  </si>
  <si>
    <t>Padly</t>
  </si>
  <si>
    <t>Fruit &amp; Nut Bars</t>
  </si>
  <si>
    <t>Dennison</t>
  </si>
  <si>
    <t>Crosswaite</t>
  </si>
  <si>
    <t>White Choc</t>
  </si>
  <si>
    <t>Manuka Honey Choco</t>
  </si>
  <si>
    <t>Wilone</t>
  </si>
  <si>
    <t>O'Kielt</t>
  </si>
  <si>
    <t>Almond Choco</t>
  </si>
  <si>
    <t>Andria</t>
  </si>
  <si>
    <t>Kimpton</t>
  </si>
  <si>
    <t>Kelci</t>
  </si>
  <si>
    <t>Walkden</t>
  </si>
  <si>
    <t>Camilla</t>
  </si>
  <si>
    <t>Castle</t>
  </si>
  <si>
    <t>Raspberry Choco</t>
  </si>
  <si>
    <t>Choco Coated Almonds</t>
  </si>
  <si>
    <t>Madelene</t>
  </si>
  <si>
    <t>Upcott</t>
  </si>
  <si>
    <t>Curtice</t>
  </si>
  <si>
    <t>Sales Person</t>
  </si>
  <si>
    <t xml:space="preserve">LEFT </t>
  </si>
  <si>
    <t>Classification</t>
  </si>
  <si>
    <t>V-Lookup Function</t>
  </si>
  <si>
    <t>Grand Total</t>
  </si>
  <si>
    <t>Grand Amount</t>
  </si>
  <si>
    <t>Average Boxes Shipped</t>
  </si>
  <si>
    <t>No. of Transactions</t>
  </si>
  <si>
    <t>Maximum Amount</t>
  </si>
  <si>
    <t>Minimum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</si>
</sst>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164" formatCode="_ * #,##0.00_ ;_ * \-#,##0.00_ ;_ * &quot;-&quot;??_ ;_ @_ "/>
    <numFmt numFmtId="166" formatCode="_-&quot;Ksh&quot;* #,##0.00_-;\-&quot;Ksh&quot;* #,##0.00_-;_-&quot;Ksh&quot;* &quot;-&quot;??_-;_-@_-"/>
    <numFmt numFmtId="167" formatCode="dd\-mmm\-yyyy"/>
    <numFmt numFmtId="168" formatCode="&quot;Ksh&quot;#,##0.00"/>
    <numFmt numFmtId="169" formatCode="_-[$USD]\ * #,##0_-;\-[$USD]\ * #,##0_-;_-[$USD]\ * &quot;-&quot;_-;_-@_-"/>
    <numFmt numFmtId="170" formatCode="[$-F800]dddd\,\ mmmm\ dd\,\ yyyy"/>
  </numFmts>
  <fonts count="11">
    <font>
      <sz val="14"/>
      <color theme="1"/>
      <name val="Calibri"/>
      <charset val="134"/>
      <scheme val="minor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b/>
      <sz val="14"/>
      <color theme="1"/>
      <name val="Calibri"/>
      <charset val="134"/>
      <scheme val="minor"/>
    </font>
    <font>
      <sz val="14"/>
      <color theme="1"/>
      <name val="Albertus MT"/>
      <charset val="134"/>
    </font>
    <font>
      <sz val="14"/>
      <color theme="1"/>
      <name val="Bahnschrift Light"/>
      <charset val="134"/>
    </font>
    <font>
      <b/>
      <sz val="14"/>
      <color theme="1"/>
      <name val="Bahnschrift Light"/>
      <charset val="134"/>
    </font>
    <font>
      <sz val="14"/>
      <color theme="1"/>
      <name val="Arial Narrow"/>
      <charset val="134"/>
    </font>
    <font>
      <sz val="14"/>
      <color theme="1"/>
      <name val="Agency FB"/>
      <charset val="134"/>
    </font>
    <font>
      <sz val="11"/>
      <color theme="1"/>
      <name val="Calibri"/>
      <charset val="134"/>
      <scheme val="minor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>
      <alignment vertical="center"/>
    </xf>
  </cellStyleXfs>
  <cellXfs count="68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167" fontId="1" fillId="0" borderId="0" xfId="0" applyNumberFormat="1" applyFont="1" applyAlignment="1">
      <alignment horizontal="right"/>
    </xf>
    <xf numFmtId="4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4" fontId="1" fillId="0" borderId="0" xfId="1" applyNumberFormat="1" applyFont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7" fontId="2" fillId="2" borderId="4" xfId="0" applyNumberFormat="1" applyFont="1" applyFill="1" applyBorder="1" applyAlignment="1">
      <alignment horizontal="right"/>
    </xf>
    <xf numFmtId="44" fontId="2" fillId="2" borderId="4" xfId="0" applyNumberFormat="1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67" fontId="1" fillId="0" borderId="1" xfId="0" applyNumberFormat="1" applyFont="1" applyBorder="1" applyAlignment="1">
      <alignment horizontal="right"/>
    </xf>
    <xf numFmtId="44" fontId="1" fillId="0" borderId="1" xfId="0" applyNumberFormat="1" applyFont="1" applyBorder="1" applyAlignment="1">
      <alignment horizontal="right"/>
    </xf>
    <xf numFmtId="44" fontId="1" fillId="0" borderId="1" xfId="1" applyNumberFormat="1" applyFont="1" applyBorder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7" fontId="1" fillId="0" borderId="7" xfId="0" applyNumberFormat="1" applyFont="1" applyBorder="1" applyAlignment="1">
      <alignment horizontal="right"/>
    </xf>
    <xf numFmtId="44" fontId="1" fillId="0" borderId="7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44" fontId="1" fillId="0" borderId="2" xfId="0" applyNumberFormat="1" applyFont="1" applyBorder="1" applyAlignment="1">
      <alignment horizontal="right"/>
    </xf>
    <xf numFmtId="166" fontId="2" fillId="2" borderId="8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44" fontId="2" fillId="2" borderId="8" xfId="0" applyNumberFormat="1" applyFont="1" applyFill="1" applyBorder="1" applyAlignment="1">
      <alignment horizontal="right"/>
    </xf>
    <xf numFmtId="166" fontId="1" fillId="3" borderId="9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44" fontId="1" fillId="3" borderId="1" xfId="0" applyNumberFormat="1" applyFont="1" applyFill="1" applyBorder="1" applyAlignment="1">
      <alignment horizontal="right"/>
    </xf>
    <xf numFmtId="166" fontId="1" fillId="0" borderId="2" xfId="0" applyNumberFormat="1" applyFont="1" applyBorder="1"/>
    <xf numFmtId="0" fontId="1" fillId="0" borderId="1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44" fontId="1" fillId="3" borderId="5" xfId="0" applyNumberFormat="1" applyFont="1" applyFill="1" applyBorder="1" applyAlignment="1">
      <alignment horizontal="right"/>
    </xf>
    <xf numFmtId="0" fontId="3" fillId="0" borderId="11" xfId="0" applyFont="1" applyBorder="1"/>
    <xf numFmtId="0" fontId="4" fillId="0" borderId="12" xfId="0" applyFont="1" applyBorder="1"/>
    <xf numFmtId="0" fontId="0" fillId="0" borderId="12" xfId="0" applyBorder="1"/>
    <xf numFmtId="0" fontId="5" fillId="0" borderId="12" xfId="0" applyFont="1" applyBorder="1"/>
    <xf numFmtId="12" fontId="0" fillId="0" borderId="13" xfId="0" applyNumberFormat="1" applyBorder="1"/>
    <xf numFmtId="168" fontId="0" fillId="0" borderId="12" xfId="0" applyNumberFormat="1" applyBorder="1"/>
    <xf numFmtId="0" fontId="0" fillId="0" borderId="12" xfId="0" applyBorder="1" applyAlignment="1">
      <alignment horizontal="center"/>
    </xf>
    <xf numFmtId="0" fontId="4" fillId="0" borderId="13" xfId="0" applyFont="1" applyBorder="1"/>
    <xf numFmtId="0" fontId="0" fillId="0" borderId="13" xfId="0" applyBorder="1"/>
    <xf numFmtId="0" fontId="5" fillId="0" borderId="13" xfId="0" applyFont="1" applyBorder="1"/>
    <xf numFmtId="15" fontId="0" fillId="0" borderId="13" xfId="0" applyNumberFormat="1" applyBorder="1"/>
    <xf numFmtId="164" fontId="0" fillId="0" borderId="13" xfId="1" applyFont="1" applyBorder="1" applyAlignment="1"/>
    <xf numFmtId="0" fontId="0" fillId="0" borderId="13" xfId="0" applyBorder="1" applyAlignment="1">
      <alignment horizontal="center"/>
    </xf>
    <xf numFmtId="2" fontId="0" fillId="0" borderId="13" xfId="0" applyNumberFormat="1" applyBorder="1"/>
    <xf numFmtId="6" fontId="0" fillId="0" borderId="13" xfId="0" applyNumberFormat="1" applyBorder="1"/>
    <xf numFmtId="0" fontId="0" fillId="0" borderId="13" xfId="0" applyBorder="1" applyAlignment="1">
      <alignment horizontal="right"/>
    </xf>
    <xf numFmtId="0" fontId="6" fillId="0" borderId="13" xfId="0" applyFont="1" applyBorder="1"/>
    <xf numFmtId="0" fontId="0" fillId="0" borderId="13" xfId="0" applyBorder="1" applyAlignment="1">
      <alignment horizontal="left"/>
    </xf>
    <xf numFmtId="0" fontId="6" fillId="0" borderId="13" xfId="0" applyFont="1" applyBorder="1" applyAlignment="1">
      <alignment horizontal="center"/>
    </xf>
    <xf numFmtId="16" fontId="0" fillId="0" borderId="13" xfId="0" applyNumberFormat="1" applyBorder="1"/>
    <xf numFmtId="0" fontId="7" fillId="0" borderId="13" xfId="0" applyFont="1" applyBorder="1"/>
    <xf numFmtId="169" fontId="0" fillId="0" borderId="13" xfId="0" applyNumberFormat="1" applyBorder="1"/>
    <xf numFmtId="170" fontId="0" fillId="0" borderId="13" xfId="0" applyNumberFormat="1" applyBorder="1"/>
    <xf numFmtId="0" fontId="8" fillId="0" borderId="13" xfId="0" applyFont="1" applyBorder="1" applyAlignment="1">
      <alignment horizontal="center"/>
    </xf>
    <xf numFmtId="166" fontId="0" fillId="0" borderId="13" xfId="0" applyNumberFormat="1" applyBorder="1"/>
    <xf numFmtId="14" fontId="0" fillId="0" borderId="13" xfId="0" applyNumberFormat="1" applyBorder="1"/>
    <xf numFmtId="0" fontId="7" fillId="0" borderId="13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18" fontId="0" fillId="0" borderId="13" xfId="0" applyNumberFormat="1" applyBorder="1"/>
    <xf numFmtId="0" fontId="10" fillId="0" borderId="2" xfId="0" applyFont="1" applyBorder="1"/>
    <xf numFmtId="0" fontId="1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8"/>
  <sheetViews>
    <sheetView showGridLines="0" workbookViewId="0">
      <selection activeCell="E7" sqref="E7"/>
    </sheetView>
  </sheetViews>
  <sheetFormatPr defaultColWidth="9" defaultRowHeight="17.5"/>
  <cols>
    <col min="1" max="1" width="3.140625" style="67" customWidth="1"/>
    <col min="2" max="16384" width="9" style="67"/>
  </cols>
  <sheetData>
    <row r="3" spans="2:3">
      <c r="B3" s="66">
        <v>0</v>
      </c>
      <c r="C3" s="66" t="s">
        <v>0</v>
      </c>
    </row>
    <row r="4" spans="2:3">
      <c r="B4" s="66">
        <v>20</v>
      </c>
      <c r="C4" s="66" t="s">
        <v>1</v>
      </c>
    </row>
    <row r="5" spans="2:3">
      <c r="B5" s="66">
        <v>40</v>
      </c>
      <c r="C5" s="66" t="s">
        <v>2</v>
      </c>
    </row>
    <row r="6" spans="2:3">
      <c r="B6" s="66">
        <v>70</v>
      </c>
      <c r="C6" s="66" t="s">
        <v>3</v>
      </c>
    </row>
    <row r="7" spans="2:3">
      <c r="B7" s="66">
        <v>90</v>
      </c>
      <c r="C7" s="66" t="s">
        <v>4</v>
      </c>
    </row>
    <row r="8" spans="2:3">
      <c r="B8" s="66">
        <v>150</v>
      </c>
      <c r="C8" s="6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topLeftCell="A16" workbookViewId="0">
      <selection activeCell="I20" sqref="I20"/>
    </sheetView>
  </sheetViews>
  <sheetFormatPr defaultColWidth="9" defaultRowHeight="18.5"/>
  <cols>
    <col min="1" max="2" width="17.28515625" customWidth="1"/>
    <col min="3" max="3" width="10.78515625" customWidth="1"/>
    <col min="4" max="4" width="24.0703125" customWidth="1"/>
    <col min="5" max="5" width="22.5703125" customWidth="1"/>
    <col min="6" max="6" width="13.42578125" customWidth="1"/>
    <col min="7" max="7" width="12.5703125" customWidth="1"/>
  </cols>
  <sheetData>
    <row r="1" spans="1:7">
      <c r="A1" s="37" t="s">
        <v>6</v>
      </c>
      <c r="B1" s="37" t="s">
        <v>7</v>
      </c>
      <c r="C1" s="37" t="s">
        <v>8</v>
      </c>
      <c r="D1" s="37" t="s">
        <v>9</v>
      </c>
      <c r="E1" s="37" t="s">
        <v>10</v>
      </c>
      <c r="F1" s="37" t="s">
        <v>11</v>
      </c>
      <c r="G1" s="37" t="s">
        <v>12</v>
      </c>
    </row>
    <row r="2" spans="1:7" ht="19">
      <c r="A2" s="38" t="s">
        <v>13</v>
      </c>
      <c r="B2" s="39" t="s">
        <v>14</v>
      </c>
      <c r="C2" s="39" t="s">
        <v>15</v>
      </c>
      <c r="D2" s="40" t="s">
        <v>16</v>
      </c>
      <c r="E2" s="41">
        <v>44565</v>
      </c>
      <c r="F2" s="42">
        <v>5320</v>
      </c>
      <c r="G2" s="43">
        <v>180</v>
      </c>
    </row>
    <row r="3" spans="1:7" ht="19">
      <c r="A3" s="44" t="s">
        <v>17</v>
      </c>
      <c r="B3" s="45" t="s">
        <v>18</v>
      </c>
      <c r="C3" s="45" t="s">
        <v>19</v>
      </c>
      <c r="D3" s="46" t="s">
        <v>20</v>
      </c>
      <c r="E3" s="47">
        <v>44774</v>
      </c>
      <c r="F3" s="48">
        <v>7896</v>
      </c>
      <c r="G3" s="49">
        <v>94</v>
      </c>
    </row>
    <row r="4" spans="1:7" ht="19">
      <c r="A4" s="44" t="s">
        <v>21</v>
      </c>
      <c r="B4" s="45" t="s">
        <v>22</v>
      </c>
      <c r="C4" s="45" t="s">
        <v>19</v>
      </c>
      <c r="D4" s="46" t="s">
        <v>23</v>
      </c>
      <c r="E4" s="50">
        <v>44749</v>
      </c>
      <c r="F4" s="51">
        <v>4501</v>
      </c>
      <c r="G4" s="49">
        <v>91</v>
      </c>
    </row>
    <row r="5" spans="1:7" ht="19">
      <c r="A5" s="44" t="s">
        <v>24</v>
      </c>
      <c r="B5" s="52" t="s">
        <v>25</v>
      </c>
      <c r="C5" s="45" t="s">
        <v>26</v>
      </c>
      <c r="D5" s="53" t="s">
        <v>23</v>
      </c>
      <c r="E5" s="47">
        <v>44678</v>
      </c>
      <c r="F5" s="51">
        <v>12726</v>
      </c>
      <c r="G5" s="49">
        <v>342</v>
      </c>
    </row>
    <row r="6" spans="1:7" ht="19">
      <c r="A6" s="44" t="s">
        <v>13</v>
      </c>
      <c r="B6" s="45" t="s">
        <v>14</v>
      </c>
      <c r="C6" s="45" t="s">
        <v>15</v>
      </c>
      <c r="D6" s="53" t="s">
        <v>23</v>
      </c>
      <c r="E6" s="45">
        <v>44616</v>
      </c>
      <c r="F6" s="50">
        <v>13685</v>
      </c>
      <c r="G6" s="49">
        <v>184</v>
      </c>
    </row>
    <row r="7" spans="1:7" ht="19">
      <c r="A7" s="44" t="s">
        <v>27</v>
      </c>
      <c r="B7" s="54" t="s">
        <v>18</v>
      </c>
      <c r="C7" s="45" t="s">
        <v>19</v>
      </c>
      <c r="D7" s="55" t="s">
        <v>28</v>
      </c>
      <c r="E7" s="56">
        <v>44718</v>
      </c>
      <c r="F7" s="51">
        <v>5376</v>
      </c>
      <c r="G7" s="49">
        <v>38</v>
      </c>
    </row>
    <row r="8" spans="1:7" ht="19">
      <c r="A8" s="44" t="s">
        <v>29</v>
      </c>
      <c r="B8" s="57" t="s">
        <v>30</v>
      </c>
      <c r="C8" s="45" t="s">
        <v>15</v>
      </c>
      <c r="D8" s="55" t="s">
        <v>31</v>
      </c>
      <c r="E8" s="47">
        <v>44586</v>
      </c>
      <c r="F8" s="58">
        <v>13685</v>
      </c>
      <c r="G8" s="49">
        <v>176</v>
      </c>
    </row>
    <row r="9" spans="1:7" ht="19">
      <c r="A9" s="44" t="s">
        <v>32</v>
      </c>
      <c r="B9" s="57" t="s">
        <v>33</v>
      </c>
      <c r="C9" s="45" t="s">
        <v>26</v>
      </c>
      <c r="D9" s="55" t="s">
        <v>34</v>
      </c>
      <c r="E9" s="59">
        <v>44644</v>
      </c>
      <c r="F9" s="51">
        <v>3080</v>
      </c>
      <c r="G9" s="60">
        <v>73</v>
      </c>
    </row>
    <row r="10" spans="1:7">
      <c r="A10" s="49" t="s">
        <v>35</v>
      </c>
      <c r="B10" s="57" t="s">
        <v>14</v>
      </c>
      <c r="C10" s="45" t="s">
        <v>36</v>
      </c>
      <c r="D10" s="55" t="s">
        <v>37</v>
      </c>
      <c r="E10" s="47">
        <v>44671</v>
      </c>
      <c r="F10" s="61">
        <v>3990</v>
      </c>
      <c r="G10" s="60">
        <v>59</v>
      </c>
    </row>
    <row r="11" spans="1:7">
      <c r="A11" s="49" t="s">
        <v>38</v>
      </c>
      <c r="B11" s="57" t="s">
        <v>39</v>
      </c>
      <c r="C11" s="45" t="s">
        <v>26</v>
      </c>
      <c r="D11" s="55" t="s">
        <v>31</v>
      </c>
      <c r="E11" s="47">
        <v>44746</v>
      </c>
      <c r="F11" s="51">
        <v>2835</v>
      </c>
      <c r="G11" s="60">
        <v>102</v>
      </c>
    </row>
    <row r="12" spans="1:7">
      <c r="A12" s="49" t="s">
        <v>40</v>
      </c>
      <c r="B12" s="57" t="s">
        <v>41</v>
      </c>
      <c r="C12" s="45" t="s">
        <v>15</v>
      </c>
      <c r="D12" s="55" t="s">
        <v>28</v>
      </c>
      <c r="E12" s="47">
        <v>44574</v>
      </c>
      <c r="F12" s="51">
        <v>4704</v>
      </c>
      <c r="G12" s="60">
        <v>62</v>
      </c>
    </row>
    <row r="13" spans="1:7">
      <c r="A13" s="49" t="s">
        <v>42</v>
      </c>
      <c r="B13" s="57" t="s">
        <v>43</v>
      </c>
      <c r="C13" s="45" t="s">
        <v>44</v>
      </c>
      <c r="D13" s="55" t="s">
        <v>45</v>
      </c>
      <c r="E13" s="62">
        <v>44630</v>
      </c>
      <c r="F13" s="51">
        <v>3703</v>
      </c>
      <c r="G13" s="60">
        <v>11</v>
      </c>
    </row>
    <row r="14" spans="1:7">
      <c r="A14" s="49" t="s">
        <v>46</v>
      </c>
      <c r="B14" s="57" t="s">
        <v>47</v>
      </c>
      <c r="C14" s="45" t="s">
        <v>48</v>
      </c>
      <c r="D14" s="55" t="s">
        <v>49</v>
      </c>
      <c r="E14" s="47">
        <v>44574</v>
      </c>
      <c r="F14" s="50">
        <v>1442</v>
      </c>
      <c r="G14" s="60">
        <v>286</v>
      </c>
    </row>
    <row r="15" spans="1:7">
      <c r="A15" s="49" t="s">
        <v>50</v>
      </c>
      <c r="B15" s="63" t="s">
        <v>51</v>
      </c>
      <c r="C15" s="45" t="s">
        <v>36</v>
      </c>
      <c r="D15" s="55" t="s">
        <v>52</v>
      </c>
      <c r="E15" s="47">
        <v>44770</v>
      </c>
      <c r="F15" s="51">
        <v>168</v>
      </c>
      <c r="G15" s="60">
        <v>156</v>
      </c>
    </row>
    <row r="16" spans="1:7">
      <c r="A16" s="49" t="s">
        <v>53</v>
      </c>
      <c r="B16" s="63" t="s">
        <v>54</v>
      </c>
      <c r="C16" s="45" t="s">
        <v>36</v>
      </c>
      <c r="D16" s="55" t="s">
        <v>23</v>
      </c>
      <c r="E16" s="41">
        <v>44776</v>
      </c>
      <c r="F16" s="51">
        <v>8379</v>
      </c>
      <c r="G16" s="60">
        <v>173</v>
      </c>
    </row>
    <row r="17" spans="1:7">
      <c r="A17" s="49" t="s">
        <v>55</v>
      </c>
      <c r="B17" s="63" t="s">
        <v>56</v>
      </c>
      <c r="C17" s="45" t="s">
        <v>26</v>
      </c>
      <c r="D17" s="55" t="s">
        <v>57</v>
      </c>
      <c r="E17" s="47">
        <v>44587</v>
      </c>
      <c r="F17" s="51">
        <v>6790</v>
      </c>
      <c r="G17" s="60">
        <v>356</v>
      </c>
    </row>
    <row r="18" spans="1:7">
      <c r="A18" s="49" t="s">
        <v>27</v>
      </c>
      <c r="B18" s="63" t="s">
        <v>18</v>
      </c>
      <c r="C18" s="45" t="s">
        <v>48</v>
      </c>
      <c r="D18" s="64" t="s">
        <v>57</v>
      </c>
      <c r="E18" s="47">
        <v>44606</v>
      </c>
      <c r="F18" s="51">
        <v>4067</v>
      </c>
      <c r="G18" s="60">
        <v>42</v>
      </c>
    </row>
    <row r="19" spans="1:7">
      <c r="A19" s="49" t="s">
        <v>58</v>
      </c>
      <c r="B19" s="63" t="s">
        <v>59</v>
      </c>
      <c r="C19" s="45" t="s">
        <v>44</v>
      </c>
      <c r="D19" s="64" t="s">
        <v>28</v>
      </c>
      <c r="E19" s="62">
        <v>44656</v>
      </c>
      <c r="F19" s="58">
        <v>3017</v>
      </c>
      <c r="G19" s="60">
        <v>140</v>
      </c>
    </row>
    <row r="20" spans="1:7">
      <c r="A20" s="49" t="s">
        <v>55</v>
      </c>
      <c r="B20" s="63" t="s">
        <v>56</v>
      </c>
      <c r="C20" s="45" t="s">
        <v>48</v>
      </c>
      <c r="D20" s="64" t="s">
        <v>60</v>
      </c>
      <c r="E20" s="47">
        <v>44608</v>
      </c>
      <c r="F20" s="51">
        <v>8799</v>
      </c>
      <c r="G20" s="60">
        <v>250</v>
      </c>
    </row>
    <row r="21" spans="1:7">
      <c r="A21" s="49" t="s">
        <v>61</v>
      </c>
      <c r="B21" s="63" t="s">
        <v>62</v>
      </c>
      <c r="C21" s="45" t="s">
        <v>15</v>
      </c>
      <c r="D21" s="64" t="s">
        <v>20</v>
      </c>
      <c r="E21" s="59">
        <v>44720</v>
      </c>
      <c r="F21" s="50">
        <v>1085</v>
      </c>
      <c r="G21" s="60">
        <v>172</v>
      </c>
    </row>
    <row r="22" spans="1:7">
      <c r="A22" s="49" t="s">
        <v>38</v>
      </c>
      <c r="B22" s="63" t="s">
        <v>39</v>
      </c>
      <c r="C22" s="45" t="s">
        <v>26</v>
      </c>
      <c r="D22" s="64" t="s">
        <v>49</v>
      </c>
      <c r="E22" s="47">
        <v>44739</v>
      </c>
      <c r="F22" s="51">
        <v>6888</v>
      </c>
      <c r="G22" s="60">
        <v>88</v>
      </c>
    </row>
    <row r="23" spans="1:7">
      <c r="A23" s="49" t="s">
        <v>32</v>
      </c>
      <c r="B23" s="63" t="s">
        <v>33</v>
      </c>
      <c r="C23" s="45" t="s">
        <v>44</v>
      </c>
      <c r="D23" s="64" t="s">
        <v>63</v>
      </c>
      <c r="E23" s="56">
        <v>44609</v>
      </c>
      <c r="F23" s="51">
        <v>1267</v>
      </c>
      <c r="G23" s="49">
        <v>157</v>
      </c>
    </row>
    <row r="24" spans="1:7">
      <c r="A24" s="49" t="s">
        <v>53</v>
      </c>
      <c r="B24" s="63" t="s">
        <v>54</v>
      </c>
      <c r="C24" s="45" t="s">
        <v>44</v>
      </c>
      <c r="D24" s="64" t="s">
        <v>34</v>
      </c>
      <c r="E24" s="47">
        <v>44711</v>
      </c>
      <c r="F24" s="51">
        <v>4753</v>
      </c>
      <c r="G24" s="49">
        <v>163</v>
      </c>
    </row>
    <row r="25" spans="1:7">
      <c r="A25" s="49" t="s">
        <v>64</v>
      </c>
      <c r="B25" s="63" t="s">
        <v>65</v>
      </c>
      <c r="C25" s="45" t="s">
        <v>15</v>
      </c>
      <c r="D25" s="64" t="s">
        <v>52</v>
      </c>
      <c r="E25" s="65">
        <v>44634</v>
      </c>
      <c r="F25" s="58">
        <v>3003</v>
      </c>
      <c r="G25" s="49">
        <v>113</v>
      </c>
    </row>
    <row r="26" spans="1:7">
      <c r="A26" s="49" t="s">
        <v>66</v>
      </c>
      <c r="B26" s="52" t="s">
        <v>67</v>
      </c>
      <c r="C26" s="45" t="s">
        <v>26</v>
      </c>
      <c r="D26" s="64" t="s">
        <v>49</v>
      </c>
      <c r="E26" s="47">
        <v>44620</v>
      </c>
      <c r="F26" s="51">
        <v>7672</v>
      </c>
      <c r="G26" s="54">
        <v>115</v>
      </c>
    </row>
    <row r="27" spans="1:7">
      <c r="A27" s="49" t="s">
        <v>50</v>
      </c>
      <c r="B27" s="52" t="s">
        <v>51</v>
      </c>
      <c r="C27" s="45" t="s">
        <v>19</v>
      </c>
      <c r="D27" s="64" t="s">
        <v>68</v>
      </c>
      <c r="E27" s="41">
        <v>44587</v>
      </c>
      <c r="F27" s="51">
        <v>168</v>
      </c>
      <c r="G27" s="54">
        <v>321</v>
      </c>
    </row>
    <row r="28" spans="1:7">
      <c r="A28" s="49" t="s">
        <v>58</v>
      </c>
      <c r="B28" s="52" t="s">
        <v>59</v>
      </c>
      <c r="C28" s="45" t="s">
        <v>48</v>
      </c>
      <c r="D28" s="64" t="s">
        <v>63</v>
      </c>
      <c r="E28" s="47">
        <v>44601</v>
      </c>
      <c r="F28" s="51">
        <v>1652</v>
      </c>
      <c r="G28" s="54">
        <v>186</v>
      </c>
    </row>
    <row r="29" spans="1:7">
      <c r="A29" s="45" t="s">
        <v>64</v>
      </c>
      <c r="B29" s="52" t="s">
        <v>65</v>
      </c>
      <c r="C29" s="45" t="s">
        <v>44</v>
      </c>
      <c r="D29" s="64" t="s">
        <v>49</v>
      </c>
      <c r="E29" s="47">
        <v>44749</v>
      </c>
      <c r="F29" s="51">
        <v>4025</v>
      </c>
      <c r="G29" s="54">
        <v>112</v>
      </c>
    </row>
    <row r="30" spans="1:7">
      <c r="A30" s="45" t="s">
        <v>69</v>
      </c>
      <c r="B30" s="52" t="s">
        <v>70</v>
      </c>
      <c r="C30" s="45" t="s">
        <v>36</v>
      </c>
      <c r="D30" s="64" t="s">
        <v>71</v>
      </c>
      <c r="E30" s="47">
        <v>44747</v>
      </c>
      <c r="F30" s="51">
        <v>9492</v>
      </c>
      <c r="G30" s="54">
        <v>151</v>
      </c>
    </row>
    <row r="31" spans="1:7">
      <c r="A31" s="45" t="s">
        <v>69</v>
      </c>
      <c r="B31" s="52" t="s">
        <v>70</v>
      </c>
      <c r="C31" s="45" t="s">
        <v>36</v>
      </c>
      <c r="D31" s="64" t="s">
        <v>72</v>
      </c>
      <c r="E31" s="47">
        <v>44727</v>
      </c>
      <c r="F31" s="51">
        <v>5061</v>
      </c>
      <c r="G31" s="54">
        <v>301</v>
      </c>
    </row>
    <row r="32" spans="1:7">
      <c r="A32" s="45" t="s">
        <v>27</v>
      </c>
      <c r="B32" s="52" t="s">
        <v>18</v>
      </c>
      <c r="C32" s="45" t="s">
        <v>36</v>
      </c>
      <c r="D32" s="64" t="s">
        <v>20</v>
      </c>
      <c r="E32" s="47">
        <v>44705</v>
      </c>
      <c r="F32" s="51">
        <v>1722</v>
      </c>
      <c r="G32" s="45">
        <v>121</v>
      </c>
    </row>
    <row r="33" spans="1:7">
      <c r="A33" s="45" t="s">
        <v>40</v>
      </c>
      <c r="B33" s="45" t="s">
        <v>41</v>
      </c>
      <c r="C33" s="45" t="s">
        <v>15</v>
      </c>
      <c r="D33" s="49" t="s">
        <v>31</v>
      </c>
      <c r="E33" s="47">
        <v>44741</v>
      </c>
      <c r="F33" s="51">
        <v>12446</v>
      </c>
      <c r="G33" s="45">
        <v>150</v>
      </c>
    </row>
    <row r="34" spans="1:7">
      <c r="A34" s="45" t="s">
        <v>73</v>
      </c>
      <c r="B34" s="45" t="s">
        <v>74</v>
      </c>
      <c r="C34" s="45" t="s">
        <v>26</v>
      </c>
      <c r="D34" s="45" t="s">
        <v>72</v>
      </c>
      <c r="E34" s="47">
        <v>44692</v>
      </c>
      <c r="F34" s="51">
        <v>4284</v>
      </c>
      <c r="G34" s="45">
        <v>94</v>
      </c>
    </row>
    <row r="35" spans="1:7">
      <c r="A35" s="45" t="s">
        <v>50</v>
      </c>
      <c r="B35" s="45" t="s">
        <v>51</v>
      </c>
      <c r="C35" s="45" t="s">
        <v>15</v>
      </c>
      <c r="D35" s="45" t="s">
        <v>75</v>
      </c>
      <c r="E35" s="47">
        <v>44742</v>
      </c>
      <c r="F35" s="51">
        <v>6839</v>
      </c>
      <c r="G35" s="45">
        <v>133</v>
      </c>
    </row>
    <row r="36" spans="1:7">
      <c r="A36" s="45" t="s">
        <v>76</v>
      </c>
      <c r="B36" s="45" t="s">
        <v>77</v>
      </c>
      <c r="C36" s="45" t="s">
        <v>48</v>
      </c>
      <c r="D36" s="45" t="s">
        <v>34</v>
      </c>
      <c r="E36" s="47">
        <v>44692</v>
      </c>
      <c r="F36" s="51">
        <v>2163</v>
      </c>
      <c r="G36" s="45">
        <v>70</v>
      </c>
    </row>
    <row r="37" spans="1:7">
      <c r="A37" s="45" t="s">
        <v>58</v>
      </c>
      <c r="B37" s="45" t="s">
        <v>59</v>
      </c>
      <c r="C37" s="45" t="s">
        <v>44</v>
      </c>
      <c r="D37" s="45" t="s">
        <v>72</v>
      </c>
      <c r="E37" s="47">
        <v>44764</v>
      </c>
      <c r="F37" s="51">
        <v>9583</v>
      </c>
      <c r="G37" s="45">
        <v>315</v>
      </c>
    </row>
    <row r="38" spans="1:7">
      <c r="A38" s="45" t="s">
        <v>76</v>
      </c>
      <c r="B38" s="45" t="s">
        <v>77</v>
      </c>
      <c r="C38" s="45" t="s">
        <v>15</v>
      </c>
      <c r="D38" s="45" t="s">
        <v>37</v>
      </c>
      <c r="E38" s="47">
        <v>44797</v>
      </c>
      <c r="F38" s="51">
        <v>2653</v>
      </c>
      <c r="G38" s="45">
        <v>314</v>
      </c>
    </row>
    <row r="39" spans="1:7">
      <c r="A39" s="45" t="s">
        <v>78</v>
      </c>
      <c r="B39" s="45" t="s">
        <v>79</v>
      </c>
      <c r="C39" s="45" t="s">
        <v>36</v>
      </c>
      <c r="D39" s="45" t="s">
        <v>34</v>
      </c>
      <c r="E39" s="47">
        <v>44749</v>
      </c>
      <c r="F39" s="51">
        <v>147</v>
      </c>
      <c r="G39" s="45">
        <v>72</v>
      </c>
    </row>
    <row r="40" spans="1:7">
      <c r="A40" s="45" t="s">
        <v>80</v>
      </c>
      <c r="B40" s="45" t="s">
        <v>81</v>
      </c>
      <c r="C40" s="45" t="s">
        <v>26</v>
      </c>
      <c r="D40" s="45" t="s">
        <v>20</v>
      </c>
      <c r="E40" s="47">
        <v>44700</v>
      </c>
      <c r="F40" s="51">
        <v>3654</v>
      </c>
      <c r="G40" s="45">
        <v>14</v>
      </c>
    </row>
    <row r="41" spans="1:7">
      <c r="A41" s="45" t="s">
        <v>50</v>
      </c>
      <c r="B41" s="45" t="s">
        <v>51</v>
      </c>
      <c r="C41" s="45" t="s">
        <v>19</v>
      </c>
      <c r="D41" s="45" t="s">
        <v>72</v>
      </c>
      <c r="E41" s="50">
        <v>44746</v>
      </c>
      <c r="F41" s="51">
        <v>2443</v>
      </c>
      <c r="G41" s="45">
        <v>581</v>
      </c>
    </row>
    <row r="42" spans="1:7">
      <c r="A42" s="45" t="s">
        <v>78</v>
      </c>
      <c r="B42" s="45" t="s">
        <v>79</v>
      </c>
      <c r="C42" s="45" t="s">
        <v>44</v>
      </c>
      <c r="D42" s="45" t="s">
        <v>34</v>
      </c>
      <c r="E42" s="47">
        <v>44714</v>
      </c>
      <c r="F42" s="51">
        <v>938</v>
      </c>
      <c r="G42" s="45">
        <v>16</v>
      </c>
    </row>
    <row r="43" spans="1:7">
      <c r="A43" s="45" t="s">
        <v>50</v>
      </c>
      <c r="B43" s="45" t="s">
        <v>51</v>
      </c>
      <c r="C43" s="45" t="s">
        <v>44</v>
      </c>
      <c r="D43" s="45" t="s">
        <v>82</v>
      </c>
      <c r="E43" s="56">
        <v>44666</v>
      </c>
      <c r="F43" s="51">
        <v>14749</v>
      </c>
      <c r="G43" s="45">
        <v>354</v>
      </c>
    </row>
    <row r="44" spans="1:7">
      <c r="A44" s="45" t="s">
        <v>46</v>
      </c>
      <c r="B44" s="45" t="s">
        <v>47</v>
      </c>
      <c r="C44" s="45" t="s">
        <v>48</v>
      </c>
      <c r="D44" s="45" t="s">
        <v>83</v>
      </c>
      <c r="E44" s="47">
        <v>44753</v>
      </c>
      <c r="F44" s="51">
        <v>4781</v>
      </c>
      <c r="G44" s="45">
        <v>241</v>
      </c>
    </row>
    <row r="45" spans="1:7">
      <c r="A45" s="45" t="s">
        <v>76</v>
      </c>
      <c r="B45" s="45" t="s">
        <v>77</v>
      </c>
      <c r="C45" s="45" t="s">
        <v>19</v>
      </c>
      <c r="D45" s="45" t="s">
        <v>63</v>
      </c>
      <c r="E45" s="47">
        <v>44615</v>
      </c>
      <c r="F45" s="51">
        <v>6307</v>
      </c>
      <c r="G45" s="45">
        <v>142</v>
      </c>
    </row>
    <row r="46" spans="1:7">
      <c r="A46" s="45" t="s">
        <v>84</v>
      </c>
      <c r="B46" s="45" t="s">
        <v>85</v>
      </c>
      <c r="C46" s="45" t="s">
        <v>48</v>
      </c>
      <c r="D46" s="45" t="s">
        <v>75</v>
      </c>
      <c r="E46" s="47">
        <v>44795</v>
      </c>
      <c r="F46" s="51">
        <v>7602</v>
      </c>
      <c r="G46" s="45">
        <v>102</v>
      </c>
    </row>
    <row r="47" spans="1:7">
      <c r="A47" s="45" t="s">
        <v>66</v>
      </c>
      <c r="B47" s="45" t="s">
        <v>67</v>
      </c>
      <c r="C47" s="45" t="s">
        <v>44</v>
      </c>
      <c r="D47" s="45" t="s">
        <v>23</v>
      </c>
      <c r="E47" s="56">
        <v>44608</v>
      </c>
      <c r="F47" s="51">
        <v>6790</v>
      </c>
      <c r="G47" s="45">
        <v>188</v>
      </c>
    </row>
    <row r="48" spans="1:7">
      <c r="A48" s="45" t="s">
        <v>27</v>
      </c>
      <c r="B48" s="45" t="s">
        <v>18</v>
      </c>
      <c r="C48" s="45" t="s">
        <v>44</v>
      </c>
      <c r="D48" s="45" t="s">
        <v>37</v>
      </c>
      <c r="E48" s="47">
        <v>44574</v>
      </c>
      <c r="F48" s="51">
        <v>9737</v>
      </c>
      <c r="G48" s="45">
        <v>160</v>
      </c>
    </row>
    <row r="49" spans="1:7">
      <c r="A49" s="45" t="s">
        <v>86</v>
      </c>
      <c r="B49" s="45" t="s">
        <v>62</v>
      </c>
      <c r="C49" s="45" t="s">
        <v>26</v>
      </c>
      <c r="D49" s="45" t="s">
        <v>60</v>
      </c>
      <c r="E49" s="47">
        <v>44606</v>
      </c>
      <c r="F49" s="51">
        <v>6979</v>
      </c>
      <c r="G49" s="45">
        <v>18</v>
      </c>
    </row>
    <row r="50" spans="1:7">
      <c r="A50" s="45" t="s">
        <v>58</v>
      </c>
      <c r="B50" s="45" t="s">
        <v>59</v>
      </c>
      <c r="C50" s="45" t="s">
        <v>19</v>
      </c>
      <c r="D50" s="45" t="s">
        <v>49</v>
      </c>
      <c r="E50" s="47">
        <v>44722</v>
      </c>
      <c r="F50" s="51">
        <v>4382</v>
      </c>
      <c r="G50" s="45">
        <v>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"/>
  <sheetViews>
    <sheetView showGridLines="0" tabSelected="1" workbookViewId="0">
      <selection activeCell="N17" sqref="N17"/>
    </sheetView>
  </sheetViews>
  <sheetFormatPr defaultColWidth="9" defaultRowHeight="15"/>
  <cols>
    <col min="1" max="1" width="10.42578125" style="4" customWidth="1"/>
    <col min="2" max="3" width="17.28515625" style="4" customWidth="1"/>
    <col min="4" max="4" width="15" style="4" customWidth="1"/>
    <col min="5" max="5" width="18.78515625" style="4" customWidth="1"/>
    <col min="6" max="6" width="10.28515625" style="4" customWidth="1"/>
    <col min="7" max="7" width="14.2109375" style="5" customWidth="1"/>
    <col min="8" max="8" width="16.78515625" style="6" customWidth="1"/>
    <col min="9" max="9" width="14.28515625" style="7" customWidth="1"/>
    <col min="10" max="10" width="14" style="8" customWidth="1"/>
    <col min="11" max="11" width="16.78515625" style="8" customWidth="1"/>
    <col min="12" max="12" width="16.42578125" style="9" customWidth="1"/>
    <col min="13" max="13" width="9" style="1"/>
    <col min="14" max="14" width="18.92578125" style="1" customWidth="1"/>
    <col min="15" max="15" width="16.28515625" style="1" customWidth="1"/>
    <col min="16" max="16384" width="9" style="1"/>
  </cols>
  <sheetData>
    <row r="1" spans="1:15">
      <c r="A1" s="10" t="s">
        <v>6</v>
      </c>
      <c r="B1" s="11" t="s">
        <v>7</v>
      </c>
      <c r="C1" s="11" t="s">
        <v>87</v>
      </c>
      <c r="D1" s="11" t="s">
        <v>8</v>
      </c>
      <c r="E1" s="11" t="s">
        <v>9</v>
      </c>
      <c r="F1" s="11" t="s">
        <v>88</v>
      </c>
      <c r="G1" s="12" t="s">
        <v>10</v>
      </c>
      <c r="H1" s="13" t="s">
        <v>11</v>
      </c>
      <c r="I1" s="26" t="s">
        <v>89</v>
      </c>
      <c r="J1" s="27" t="s">
        <v>12</v>
      </c>
      <c r="K1" s="27" t="s">
        <v>90</v>
      </c>
      <c r="L1" s="28" t="s">
        <v>91</v>
      </c>
    </row>
    <row r="2" spans="1:15">
      <c r="A2" s="14" t="s">
        <v>13</v>
      </c>
      <c r="B2" s="15" t="s">
        <v>14</v>
      </c>
      <c r="C2" s="16" t="str">
        <f>CONCATENATE(A2," ",B2)</f>
        <v>Jehu Rudeforth</v>
      </c>
      <c r="D2" s="15" t="s">
        <v>15</v>
      </c>
      <c r="E2" s="15" t="s">
        <v>16</v>
      </c>
      <c r="F2" s="16" t="str">
        <f>LEFT(E2,4)</f>
        <v>Mint</v>
      </c>
      <c r="G2" s="17">
        <v>44565</v>
      </c>
      <c r="H2" s="18">
        <v>5320</v>
      </c>
      <c r="I2" s="29" t="str">
        <f>IF(H2&gt;8000,"High Sale Value","Low Sale Value")</f>
        <v>Low Sale Value</v>
      </c>
      <c r="J2" s="30">
        <v>180</v>
      </c>
      <c r="K2" s="31" t="str">
        <f>VLOOKUP(J2,Classification!$B$3:$C$8,2,TRUE)</f>
        <v>Truck</v>
      </c>
      <c r="L2" s="32">
        <f>H2*J2</f>
        <v>957600</v>
      </c>
      <c r="N2" s="2" t="s">
        <v>92</v>
      </c>
      <c r="O2" s="33">
        <f>SUM(H2:H50)</f>
        <v>267428</v>
      </c>
    </row>
    <row r="3" spans="1:15">
      <c r="A3" s="14" t="s">
        <v>17</v>
      </c>
      <c r="B3" s="15" t="s">
        <v>18</v>
      </c>
      <c r="C3" s="16" t="str">
        <f t="shared" ref="C3:C50" si="0">CONCATENATE(A3," ",B3)</f>
        <v>VAN Tuxwell</v>
      </c>
      <c r="D3" s="15" t="s">
        <v>19</v>
      </c>
      <c r="E3" s="15" t="s">
        <v>20</v>
      </c>
      <c r="F3" s="16" t="str">
        <f t="shared" ref="F3:F50" si="1">LEFT(E3,4)</f>
        <v>85%</v>
      </c>
      <c r="G3" s="17">
        <v>44774</v>
      </c>
      <c r="H3" s="19">
        <v>7896</v>
      </c>
      <c r="I3" s="29" t="str">
        <f t="shared" ref="I3:I50" si="2">IF(H3&gt;8000,"High Sale Value","Low Sale Value")</f>
        <v>Low Sale Value</v>
      </c>
      <c r="J3" s="30">
        <v>94</v>
      </c>
      <c r="K3" s="31" t="str">
        <f>VLOOKUP(J3,Classification!$B$3:$C$8,2,TRUE)</f>
        <v>Sea</v>
      </c>
      <c r="L3" s="32">
        <f t="shared" ref="L3:L50" si="3">H3*J3</f>
        <v>742224</v>
      </c>
    </row>
    <row r="4" spans="1:15">
      <c r="A4" s="14" t="s">
        <v>21</v>
      </c>
      <c r="B4" s="15" t="s">
        <v>22</v>
      </c>
      <c r="C4" s="16" t="str">
        <f t="shared" si="0"/>
        <v>Gigi Bohling</v>
      </c>
      <c r="D4" s="15" t="s">
        <v>19</v>
      </c>
      <c r="E4" s="15" t="s">
        <v>23</v>
      </c>
      <c r="F4" s="16" t="str">
        <f t="shared" si="1"/>
        <v>Pean</v>
      </c>
      <c r="G4" s="17">
        <v>44749</v>
      </c>
      <c r="H4" s="18">
        <v>4501</v>
      </c>
      <c r="I4" s="29" t="str">
        <f t="shared" si="2"/>
        <v>Low Sale Value</v>
      </c>
      <c r="J4" s="30">
        <v>91</v>
      </c>
      <c r="K4" s="31" t="str">
        <f>VLOOKUP(J4,Classification!$B$3:$C$8,2,TRUE)</f>
        <v>Sea</v>
      </c>
      <c r="L4" s="32">
        <f t="shared" si="3"/>
        <v>409591</v>
      </c>
      <c r="N4" s="2" t="s">
        <v>93</v>
      </c>
      <c r="O4" s="2">
        <f>AVERAGE(J2:J50)</f>
        <v>164.93877551020401</v>
      </c>
    </row>
    <row r="5" spans="1:15">
      <c r="A5" s="14" t="s">
        <v>24</v>
      </c>
      <c r="B5" s="15" t="s">
        <v>25</v>
      </c>
      <c r="C5" s="16" t="str">
        <f t="shared" si="0"/>
        <v>Jan MORFORTH</v>
      </c>
      <c r="D5" s="15" t="s">
        <v>26</v>
      </c>
      <c r="E5" s="15" t="s">
        <v>23</v>
      </c>
      <c r="F5" s="16" t="str">
        <f t="shared" si="1"/>
        <v>Pean</v>
      </c>
      <c r="G5" s="17">
        <v>44678</v>
      </c>
      <c r="H5" s="18">
        <v>12726</v>
      </c>
      <c r="I5" s="29" t="str">
        <f t="shared" si="2"/>
        <v>High Sale Value</v>
      </c>
      <c r="J5" s="30">
        <v>342</v>
      </c>
      <c r="K5" s="31" t="str">
        <f>VLOOKUP(J5,Classification!$B$3:$C$8,2,TRUE)</f>
        <v>Truck</v>
      </c>
      <c r="L5" s="32">
        <f t="shared" si="3"/>
        <v>4352292</v>
      </c>
    </row>
    <row r="6" spans="1:15">
      <c r="A6" s="14" t="s">
        <v>13</v>
      </c>
      <c r="B6" s="15" t="s">
        <v>14</v>
      </c>
      <c r="C6" s="16" t="str">
        <f t="shared" si="0"/>
        <v>Jehu Rudeforth</v>
      </c>
      <c r="D6" s="15" t="s">
        <v>15</v>
      </c>
      <c r="E6" s="15" t="s">
        <v>23</v>
      </c>
      <c r="F6" s="16" t="str">
        <f t="shared" si="1"/>
        <v>Pean</v>
      </c>
      <c r="G6" s="17">
        <v>44616</v>
      </c>
      <c r="H6" s="18">
        <v>13685</v>
      </c>
      <c r="I6" s="29" t="str">
        <f t="shared" si="2"/>
        <v>High Sale Value</v>
      </c>
      <c r="J6" s="30">
        <v>184</v>
      </c>
      <c r="K6" s="31" t="str">
        <f>VLOOKUP(J6,Classification!$B$3:$C$8,2,TRUE)</f>
        <v>Truck</v>
      </c>
      <c r="L6" s="32">
        <f t="shared" si="3"/>
        <v>2518040</v>
      </c>
      <c r="N6" s="2" t="s">
        <v>94</v>
      </c>
      <c r="O6" s="2">
        <f>COUNT(G2:G50)</f>
        <v>49</v>
      </c>
    </row>
    <row r="7" spans="1:15">
      <c r="A7" s="14" t="s">
        <v>27</v>
      </c>
      <c r="B7" s="15" t="s">
        <v>18</v>
      </c>
      <c r="C7" s="16" t="str">
        <f t="shared" si="0"/>
        <v>Van Tuxwell</v>
      </c>
      <c r="D7" s="15" t="s">
        <v>19</v>
      </c>
      <c r="E7" s="15" t="s">
        <v>28</v>
      </c>
      <c r="F7" s="16" t="str">
        <f t="shared" si="1"/>
        <v>Smoo</v>
      </c>
      <c r="G7" s="17">
        <v>44718</v>
      </c>
      <c r="H7" s="18">
        <v>5376</v>
      </c>
      <c r="I7" s="29" t="str">
        <f t="shared" si="2"/>
        <v>Low Sale Value</v>
      </c>
      <c r="J7" s="30">
        <v>38</v>
      </c>
      <c r="K7" s="31" t="str">
        <f>VLOOKUP(J7,Classification!$B$3:$C$8,2,TRUE)</f>
        <v>Road</v>
      </c>
      <c r="L7" s="32">
        <f t="shared" si="3"/>
        <v>204288</v>
      </c>
    </row>
    <row r="8" spans="1:15">
      <c r="A8" s="14" t="s">
        <v>29</v>
      </c>
      <c r="B8" s="15" t="s">
        <v>30</v>
      </c>
      <c r="C8" s="16" t="str">
        <f t="shared" si="0"/>
        <v>Oby sorrel</v>
      </c>
      <c r="D8" s="15" t="s">
        <v>15</v>
      </c>
      <c r="E8" s="15" t="s">
        <v>31</v>
      </c>
      <c r="F8" s="16" t="str">
        <f t="shared" si="1"/>
        <v>99%</v>
      </c>
      <c r="G8" s="17">
        <v>44586</v>
      </c>
      <c r="H8" s="18">
        <v>13685</v>
      </c>
      <c r="I8" s="29" t="str">
        <f t="shared" si="2"/>
        <v>High Sale Value</v>
      </c>
      <c r="J8" s="30">
        <v>176</v>
      </c>
      <c r="K8" s="31" t="str">
        <f>VLOOKUP(J8,Classification!$B$3:$C$8,2,TRUE)</f>
        <v>Truck</v>
      </c>
      <c r="L8" s="32">
        <f t="shared" si="3"/>
        <v>2408560</v>
      </c>
      <c r="N8" s="33" t="s">
        <v>95</v>
      </c>
      <c r="O8" s="33">
        <f>MAX(L2:L50)</f>
        <v>5221146</v>
      </c>
    </row>
    <row r="9" spans="1:15">
      <c r="A9" s="14" t="s">
        <v>32</v>
      </c>
      <c r="B9" s="15" t="s">
        <v>33</v>
      </c>
      <c r="C9" s="16" t="str">
        <f t="shared" si="0"/>
        <v>Gunar Cockshoot</v>
      </c>
      <c r="D9" s="15" t="s">
        <v>26</v>
      </c>
      <c r="E9" s="15" t="s">
        <v>34</v>
      </c>
      <c r="F9" s="16" t="str">
        <f t="shared" si="1"/>
        <v>Afte</v>
      </c>
      <c r="G9" s="17">
        <v>44644</v>
      </c>
      <c r="H9" s="18">
        <v>3080</v>
      </c>
      <c r="I9" s="29" t="str">
        <f t="shared" si="2"/>
        <v>Low Sale Value</v>
      </c>
      <c r="J9" s="30">
        <v>73</v>
      </c>
      <c r="K9" s="31" t="str">
        <f>VLOOKUP(J9,Classification!$B$3:$C$8,2,TRUE)</f>
        <v>Air</v>
      </c>
      <c r="L9" s="32">
        <f t="shared" si="3"/>
        <v>224840</v>
      </c>
    </row>
    <row r="10" spans="1:15">
      <c r="A10" s="14" t="s">
        <v>35</v>
      </c>
      <c r="B10" s="15" t="s">
        <v>14</v>
      </c>
      <c r="C10" s="16" t="str">
        <f t="shared" si="0"/>
        <v>JEHU Rudeforth</v>
      </c>
      <c r="D10" s="15" t="s">
        <v>36</v>
      </c>
      <c r="E10" s="15" t="s">
        <v>37</v>
      </c>
      <c r="F10" s="16" t="str">
        <f t="shared" si="1"/>
        <v>50%</v>
      </c>
      <c r="G10" s="17">
        <v>44671</v>
      </c>
      <c r="H10" s="18">
        <v>3990</v>
      </c>
      <c r="I10" s="29" t="str">
        <f t="shared" si="2"/>
        <v>Low Sale Value</v>
      </c>
      <c r="J10" s="30">
        <v>59</v>
      </c>
      <c r="K10" s="31" t="str">
        <f>VLOOKUP(J10,Classification!$B$3:$C$8,2,TRUE)</f>
        <v>Courier</v>
      </c>
      <c r="L10" s="32">
        <f t="shared" si="3"/>
        <v>235410</v>
      </c>
    </row>
    <row r="11" spans="1:15">
      <c r="A11" s="14" t="s">
        <v>38</v>
      </c>
      <c r="B11" s="15" t="s">
        <v>39</v>
      </c>
      <c r="C11" s="16" t="str">
        <f t="shared" si="0"/>
        <v>Brien Boise</v>
      </c>
      <c r="D11" s="15" t="s">
        <v>26</v>
      </c>
      <c r="E11" s="15" t="s">
        <v>31</v>
      </c>
      <c r="F11" s="16" t="str">
        <f t="shared" si="1"/>
        <v>99%</v>
      </c>
      <c r="G11" s="17">
        <v>44746</v>
      </c>
      <c r="H11" s="18">
        <v>2835</v>
      </c>
      <c r="I11" s="29" t="str">
        <f t="shared" si="2"/>
        <v>Low Sale Value</v>
      </c>
      <c r="J11" s="30">
        <v>102</v>
      </c>
      <c r="K11" s="31" t="str">
        <f>VLOOKUP(J11,Classification!$B$3:$C$8,2,TRUE)</f>
        <v>Sea</v>
      </c>
      <c r="L11" s="32">
        <f t="shared" si="3"/>
        <v>289170</v>
      </c>
      <c r="N11" s="2" t="s">
        <v>96</v>
      </c>
      <c r="O11" s="33">
        <f>MIN(L2:L50)</f>
        <v>10584</v>
      </c>
    </row>
    <row r="12" spans="1:15">
      <c r="A12" s="14" t="s">
        <v>40</v>
      </c>
      <c r="B12" s="15" t="s">
        <v>41</v>
      </c>
      <c r="C12" s="16" t="str">
        <f t="shared" si="0"/>
        <v>Rafaelita Blaksland</v>
      </c>
      <c r="D12" s="15" t="s">
        <v>15</v>
      </c>
      <c r="E12" s="15" t="s">
        <v>28</v>
      </c>
      <c r="F12" s="16" t="str">
        <f t="shared" si="1"/>
        <v>Smoo</v>
      </c>
      <c r="G12" s="17">
        <v>44574</v>
      </c>
      <c r="H12" s="18">
        <v>4704</v>
      </c>
      <c r="I12" s="29" t="str">
        <f t="shared" si="2"/>
        <v>Low Sale Value</v>
      </c>
      <c r="J12" s="30">
        <v>62</v>
      </c>
      <c r="K12" s="31" t="str">
        <f>VLOOKUP(J12,Classification!$B$3:$C$8,2,TRUE)</f>
        <v>Courier</v>
      </c>
      <c r="L12" s="32">
        <f t="shared" si="3"/>
        <v>291648</v>
      </c>
    </row>
    <row r="13" spans="1:15">
      <c r="A13" s="14" t="s">
        <v>42</v>
      </c>
      <c r="B13" s="15" t="s">
        <v>43</v>
      </c>
      <c r="C13" s="16" t="str">
        <f t="shared" si="0"/>
        <v>Barr Faughny</v>
      </c>
      <c r="D13" s="15" t="s">
        <v>44</v>
      </c>
      <c r="E13" s="15" t="s">
        <v>45</v>
      </c>
      <c r="F13" s="16" t="str">
        <f t="shared" si="1"/>
        <v>Oran</v>
      </c>
      <c r="G13" s="17">
        <v>44630</v>
      </c>
      <c r="H13" s="18">
        <v>3703</v>
      </c>
      <c r="I13" s="29" t="str">
        <f t="shared" si="2"/>
        <v>Low Sale Value</v>
      </c>
      <c r="J13" s="30">
        <v>11</v>
      </c>
      <c r="K13" s="31" t="str">
        <f>VLOOKUP(J13,Classification!$B$3:$C$8,2,TRUE)</f>
        <v>Pickup</v>
      </c>
      <c r="L13" s="32">
        <f t="shared" si="3"/>
        <v>40733</v>
      </c>
    </row>
    <row r="14" spans="1:15">
      <c r="A14" s="14" t="s">
        <v>46</v>
      </c>
      <c r="B14" s="15" t="s">
        <v>47</v>
      </c>
      <c r="C14" s="16" t="str">
        <f t="shared" si="0"/>
        <v>Mallorie Waber</v>
      </c>
      <c r="D14" s="15" t="s">
        <v>48</v>
      </c>
      <c r="E14" s="15" t="s">
        <v>49</v>
      </c>
      <c r="F14" s="16" t="str">
        <f t="shared" si="1"/>
        <v>Ecla</v>
      </c>
      <c r="G14" s="17">
        <v>44574</v>
      </c>
      <c r="H14" s="18">
        <v>1442</v>
      </c>
      <c r="I14" s="29" t="str">
        <f t="shared" si="2"/>
        <v>Low Sale Value</v>
      </c>
      <c r="J14" s="30">
        <v>286</v>
      </c>
      <c r="K14" s="31" t="str">
        <f>VLOOKUP(J14,Classification!$B$3:$C$8,2,TRUE)</f>
        <v>Truck</v>
      </c>
      <c r="L14" s="32">
        <f t="shared" si="3"/>
        <v>412412</v>
      </c>
    </row>
    <row r="15" spans="1:15">
      <c r="A15" s="14" t="s">
        <v>50</v>
      </c>
      <c r="B15" s="15" t="s">
        <v>51</v>
      </c>
      <c r="C15" s="16" t="str">
        <f t="shared" si="0"/>
        <v>Karlen McCaffrey</v>
      </c>
      <c r="D15" s="15" t="s">
        <v>36</v>
      </c>
      <c r="E15" s="15" t="s">
        <v>52</v>
      </c>
      <c r="F15" s="16" t="str">
        <f t="shared" si="1"/>
        <v>Drin</v>
      </c>
      <c r="G15" s="17">
        <v>44770</v>
      </c>
      <c r="H15" s="18">
        <v>168</v>
      </c>
      <c r="I15" s="29" t="str">
        <f t="shared" si="2"/>
        <v>Low Sale Value</v>
      </c>
      <c r="J15" s="30">
        <v>156</v>
      </c>
      <c r="K15" s="31" t="str">
        <f>VLOOKUP(J15,Classification!$B$3:$C$8,2,TRUE)</f>
        <v>Truck</v>
      </c>
      <c r="L15" s="32">
        <f t="shared" si="3"/>
        <v>26208</v>
      </c>
    </row>
    <row r="16" spans="1:15">
      <c r="A16" s="14" t="s">
        <v>53</v>
      </c>
      <c r="B16" s="15" t="s">
        <v>54</v>
      </c>
      <c r="C16" s="16" t="str">
        <f t="shared" si="0"/>
        <v>Marney O'Breen</v>
      </c>
      <c r="D16" s="15" t="s">
        <v>36</v>
      </c>
      <c r="E16" s="15" t="s">
        <v>23</v>
      </c>
      <c r="F16" s="16" t="str">
        <f t="shared" si="1"/>
        <v>Pean</v>
      </c>
      <c r="G16" s="17">
        <v>44776</v>
      </c>
      <c r="H16" s="18">
        <v>8379</v>
      </c>
      <c r="I16" s="29" t="str">
        <f t="shared" si="2"/>
        <v>High Sale Value</v>
      </c>
      <c r="J16" s="30">
        <v>173</v>
      </c>
      <c r="K16" s="31" t="str">
        <f>VLOOKUP(J16,Classification!$B$3:$C$8,2,TRUE)</f>
        <v>Truck</v>
      </c>
      <c r="L16" s="32">
        <f t="shared" si="3"/>
        <v>1449567</v>
      </c>
    </row>
    <row r="17" spans="1:12">
      <c r="A17" s="14" t="s">
        <v>55</v>
      </c>
      <c r="B17" s="15" t="s">
        <v>56</v>
      </c>
      <c r="C17" s="16" t="str">
        <f t="shared" si="0"/>
        <v>Beverie Moffet</v>
      </c>
      <c r="D17" s="15" t="s">
        <v>26</v>
      </c>
      <c r="E17" s="15" t="s">
        <v>57</v>
      </c>
      <c r="F17" s="16" t="str">
        <f t="shared" si="1"/>
        <v>Orga</v>
      </c>
      <c r="G17" s="17">
        <v>44587</v>
      </c>
      <c r="H17" s="18">
        <v>6790</v>
      </c>
      <c r="I17" s="29" t="str">
        <f t="shared" si="2"/>
        <v>Low Sale Value</v>
      </c>
      <c r="J17" s="30">
        <v>356</v>
      </c>
      <c r="K17" s="31" t="str">
        <f>VLOOKUP(J17,Classification!$B$3:$C$8,2,TRUE)</f>
        <v>Truck</v>
      </c>
      <c r="L17" s="32">
        <f t="shared" si="3"/>
        <v>2417240</v>
      </c>
    </row>
    <row r="18" spans="1:12">
      <c r="A18" s="14" t="s">
        <v>27</v>
      </c>
      <c r="B18" s="15" t="s">
        <v>18</v>
      </c>
      <c r="C18" s="16" t="str">
        <f t="shared" si="0"/>
        <v>Van Tuxwell</v>
      </c>
      <c r="D18" s="15" t="s">
        <v>48</v>
      </c>
      <c r="E18" s="15" t="s">
        <v>57</v>
      </c>
      <c r="F18" s="16" t="str">
        <f t="shared" si="1"/>
        <v>Orga</v>
      </c>
      <c r="G18" s="17">
        <v>44606</v>
      </c>
      <c r="H18" s="18">
        <v>4067</v>
      </c>
      <c r="I18" s="29" t="str">
        <f t="shared" si="2"/>
        <v>Low Sale Value</v>
      </c>
      <c r="J18" s="30">
        <v>42</v>
      </c>
      <c r="K18" s="31" t="str">
        <f>VLOOKUP(J18,Classification!$B$3:$C$8,2,TRUE)</f>
        <v>Courier</v>
      </c>
      <c r="L18" s="32">
        <f t="shared" si="3"/>
        <v>170814</v>
      </c>
    </row>
    <row r="19" spans="1:12">
      <c r="A19" s="14" t="s">
        <v>58</v>
      </c>
      <c r="B19" s="15" t="s">
        <v>59</v>
      </c>
      <c r="C19" s="16" t="str">
        <f t="shared" si="0"/>
        <v>Roddy Speechley</v>
      </c>
      <c r="D19" s="15" t="s">
        <v>44</v>
      </c>
      <c r="E19" s="15" t="s">
        <v>28</v>
      </c>
      <c r="F19" s="16" t="str">
        <f t="shared" si="1"/>
        <v>Smoo</v>
      </c>
      <c r="G19" s="17">
        <v>44656</v>
      </c>
      <c r="H19" s="18">
        <v>3017</v>
      </c>
      <c r="I19" s="29" t="str">
        <f t="shared" si="2"/>
        <v>Low Sale Value</v>
      </c>
      <c r="J19" s="30">
        <v>140</v>
      </c>
      <c r="K19" s="31" t="str">
        <f>VLOOKUP(J19,Classification!$B$3:$C$8,2,TRUE)</f>
        <v>Sea</v>
      </c>
      <c r="L19" s="32">
        <f t="shared" si="3"/>
        <v>422380</v>
      </c>
    </row>
    <row r="20" spans="1:12">
      <c r="A20" s="14" t="s">
        <v>55</v>
      </c>
      <c r="B20" s="15" t="s">
        <v>56</v>
      </c>
      <c r="C20" s="16" t="str">
        <f t="shared" si="0"/>
        <v>Beverie Moffet</v>
      </c>
      <c r="D20" s="15" t="s">
        <v>48</v>
      </c>
      <c r="E20" s="15" t="s">
        <v>60</v>
      </c>
      <c r="F20" s="16" t="str">
        <f t="shared" si="1"/>
        <v>Milk</v>
      </c>
      <c r="G20" s="17">
        <v>44608</v>
      </c>
      <c r="H20" s="18">
        <v>8799</v>
      </c>
      <c r="I20" s="29" t="str">
        <f t="shared" si="2"/>
        <v>High Sale Value</v>
      </c>
      <c r="J20" s="30">
        <v>250</v>
      </c>
      <c r="K20" s="31" t="str">
        <f>VLOOKUP(J20,Classification!$B$3:$C$8,2,TRUE)</f>
        <v>Truck</v>
      </c>
      <c r="L20" s="32">
        <f t="shared" si="3"/>
        <v>2199750</v>
      </c>
    </row>
    <row r="21" spans="1:12">
      <c r="A21" s="14" t="s">
        <v>61</v>
      </c>
      <c r="B21" s="15" t="s">
        <v>62</v>
      </c>
      <c r="C21" s="16" t="str">
        <f t="shared" si="0"/>
        <v>CURTICE Advani</v>
      </c>
      <c r="D21" s="15" t="s">
        <v>15</v>
      </c>
      <c r="E21" s="15" t="s">
        <v>20</v>
      </c>
      <c r="F21" s="16" t="str">
        <f t="shared" si="1"/>
        <v>85%</v>
      </c>
      <c r="G21" s="17">
        <v>44720</v>
      </c>
      <c r="H21" s="18">
        <v>1085</v>
      </c>
      <c r="I21" s="29" t="str">
        <f t="shared" si="2"/>
        <v>Low Sale Value</v>
      </c>
      <c r="J21" s="30">
        <v>172</v>
      </c>
      <c r="K21" s="31" t="str">
        <f>VLOOKUP(J21,Classification!$B$3:$C$8,2,TRUE)</f>
        <v>Truck</v>
      </c>
      <c r="L21" s="32">
        <f t="shared" si="3"/>
        <v>186620</v>
      </c>
    </row>
    <row r="22" spans="1:12">
      <c r="A22" s="14" t="s">
        <v>38</v>
      </c>
      <c r="B22" s="15" t="s">
        <v>39</v>
      </c>
      <c r="C22" s="16" t="str">
        <f t="shared" si="0"/>
        <v>Brien Boise</v>
      </c>
      <c r="D22" s="15" t="s">
        <v>26</v>
      </c>
      <c r="E22" s="15" t="s">
        <v>49</v>
      </c>
      <c r="F22" s="16" t="str">
        <f t="shared" si="1"/>
        <v>Ecla</v>
      </c>
      <c r="G22" s="17">
        <v>44739</v>
      </c>
      <c r="H22" s="18">
        <v>6888</v>
      </c>
      <c r="I22" s="29" t="str">
        <f t="shared" si="2"/>
        <v>Low Sale Value</v>
      </c>
      <c r="J22" s="30">
        <v>88</v>
      </c>
      <c r="K22" s="31" t="str">
        <f>VLOOKUP(J22,Classification!$B$3:$C$8,2,TRUE)</f>
        <v>Air</v>
      </c>
      <c r="L22" s="32">
        <f t="shared" si="3"/>
        <v>606144</v>
      </c>
    </row>
    <row r="23" spans="1:12">
      <c r="A23" s="14" t="s">
        <v>32</v>
      </c>
      <c r="B23" s="15" t="s">
        <v>33</v>
      </c>
      <c r="C23" s="16" t="str">
        <f t="shared" si="0"/>
        <v>Gunar Cockshoot</v>
      </c>
      <c r="D23" s="15" t="s">
        <v>44</v>
      </c>
      <c r="E23" s="15" t="s">
        <v>63</v>
      </c>
      <c r="F23" s="16" t="str">
        <f t="shared" si="1"/>
        <v>Spic</v>
      </c>
      <c r="G23" s="17">
        <v>44609</v>
      </c>
      <c r="H23" s="18">
        <v>1267</v>
      </c>
      <c r="I23" s="29" t="str">
        <f t="shared" si="2"/>
        <v>Low Sale Value</v>
      </c>
      <c r="J23" s="30">
        <v>157</v>
      </c>
      <c r="K23" s="31" t="str">
        <f>VLOOKUP(J23,Classification!$B$3:$C$8,2,TRUE)</f>
        <v>Truck</v>
      </c>
      <c r="L23" s="32">
        <f t="shared" si="3"/>
        <v>198919</v>
      </c>
    </row>
    <row r="24" spans="1:12">
      <c r="A24" s="14" t="s">
        <v>53</v>
      </c>
      <c r="B24" s="15" t="s">
        <v>54</v>
      </c>
      <c r="C24" s="16" t="str">
        <f t="shared" si="0"/>
        <v>Marney O'Breen</v>
      </c>
      <c r="D24" s="15" t="s">
        <v>44</v>
      </c>
      <c r="E24" s="15" t="s">
        <v>34</v>
      </c>
      <c r="F24" s="16" t="str">
        <f t="shared" si="1"/>
        <v>Afte</v>
      </c>
      <c r="G24" s="17">
        <v>44711</v>
      </c>
      <c r="H24" s="18">
        <v>4753</v>
      </c>
      <c r="I24" s="29" t="str">
        <f t="shared" si="2"/>
        <v>Low Sale Value</v>
      </c>
      <c r="J24" s="30">
        <v>163</v>
      </c>
      <c r="K24" s="31" t="str">
        <f>VLOOKUP(J24,Classification!$B$3:$C$8,2,TRUE)</f>
        <v>Truck</v>
      </c>
      <c r="L24" s="32">
        <f t="shared" si="3"/>
        <v>774739</v>
      </c>
    </row>
    <row r="25" spans="1:12">
      <c r="A25" s="14" t="s">
        <v>64</v>
      </c>
      <c r="B25" s="15" t="s">
        <v>65</v>
      </c>
      <c r="C25" s="16" t="str">
        <f t="shared" si="0"/>
        <v>Husein Augar</v>
      </c>
      <c r="D25" s="15" t="s">
        <v>15</v>
      </c>
      <c r="E25" s="15" t="s">
        <v>52</v>
      </c>
      <c r="F25" s="16" t="str">
        <f t="shared" si="1"/>
        <v>Drin</v>
      </c>
      <c r="G25" s="17">
        <v>44634</v>
      </c>
      <c r="H25" s="18">
        <v>3003</v>
      </c>
      <c r="I25" s="29" t="str">
        <f t="shared" si="2"/>
        <v>Low Sale Value</v>
      </c>
      <c r="J25" s="30">
        <v>113</v>
      </c>
      <c r="K25" s="31" t="str">
        <f>VLOOKUP(J25,Classification!$B$3:$C$8,2,TRUE)</f>
        <v>Sea</v>
      </c>
      <c r="L25" s="32">
        <f t="shared" si="3"/>
        <v>339339</v>
      </c>
    </row>
    <row r="26" spans="1:12">
      <c r="A26" s="14" t="s">
        <v>66</v>
      </c>
      <c r="B26" s="15" t="s">
        <v>67</v>
      </c>
      <c r="C26" s="16" t="str">
        <f t="shared" si="0"/>
        <v>Kaine Padly</v>
      </c>
      <c r="D26" s="15" t="s">
        <v>26</v>
      </c>
      <c r="E26" s="15" t="s">
        <v>49</v>
      </c>
      <c r="F26" s="16" t="str">
        <f t="shared" si="1"/>
        <v>Ecla</v>
      </c>
      <c r="G26" s="17">
        <v>44620</v>
      </c>
      <c r="H26" s="18">
        <v>7672</v>
      </c>
      <c r="I26" s="29" t="str">
        <f t="shared" si="2"/>
        <v>Low Sale Value</v>
      </c>
      <c r="J26" s="30">
        <v>115</v>
      </c>
      <c r="K26" s="31" t="str">
        <f>VLOOKUP(J26,Classification!$B$3:$C$8,2,TRUE)</f>
        <v>Sea</v>
      </c>
      <c r="L26" s="32">
        <f t="shared" si="3"/>
        <v>882280</v>
      </c>
    </row>
    <row r="27" spans="1:12">
      <c r="A27" s="14" t="s">
        <v>50</v>
      </c>
      <c r="B27" s="15" t="s">
        <v>51</v>
      </c>
      <c r="C27" s="16" t="str">
        <f t="shared" si="0"/>
        <v>Karlen McCaffrey</v>
      </c>
      <c r="D27" s="15" t="s">
        <v>19</v>
      </c>
      <c r="E27" s="15" t="s">
        <v>68</v>
      </c>
      <c r="F27" s="16" t="str">
        <f t="shared" si="1"/>
        <v>Frui</v>
      </c>
      <c r="G27" s="17">
        <v>44587</v>
      </c>
      <c r="H27" s="18">
        <v>168</v>
      </c>
      <c r="I27" s="29" t="str">
        <f t="shared" si="2"/>
        <v>Low Sale Value</v>
      </c>
      <c r="J27" s="30">
        <v>321</v>
      </c>
      <c r="K27" s="31" t="str">
        <f>VLOOKUP(J27,Classification!$B$3:$C$8,2,TRUE)</f>
        <v>Truck</v>
      </c>
      <c r="L27" s="32">
        <f t="shared" si="3"/>
        <v>53928</v>
      </c>
    </row>
    <row r="28" spans="1:12">
      <c r="A28" s="14" t="s">
        <v>58</v>
      </c>
      <c r="B28" s="15" t="s">
        <v>59</v>
      </c>
      <c r="C28" s="16" t="str">
        <f t="shared" si="0"/>
        <v>Roddy Speechley</v>
      </c>
      <c r="D28" s="15" t="s">
        <v>48</v>
      </c>
      <c r="E28" s="15" t="s">
        <v>63</v>
      </c>
      <c r="F28" s="16" t="str">
        <f t="shared" si="1"/>
        <v>Spic</v>
      </c>
      <c r="G28" s="17">
        <v>44601</v>
      </c>
      <c r="H28" s="18">
        <v>1652</v>
      </c>
      <c r="I28" s="29" t="str">
        <f t="shared" si="2"/>
        <v>Low Sale Value</v>
      </c>
      <c r="J28" s="30">
        <v>186</v>
      </c>
      <c r="K28" s="31" t="str">
        <f>VLOOKUP(J28,Classification!$B$3:$C$8,2,TRUE)</f>
        <v>Truck</v>
      </c>
      <c r="L28" s="32">
        <f t="shared" si="3"/>
        <v>307272</v>
      </c>
    </row>
    <row r="29" spans="1:12">
      <c r="A29" s="14" t="s">
        <v>64</v>
      </c>
      <c r="B29" s="15" t="s">
        <v>65</v>
      </c>
      <c r="C29" s="16" t="str">
        <f t="shared" si="0"/>
        <v>Husein Augar</v>
      </c>
      <c r="D29" s="15" t="s">
        <v>44</v>
      </c>
      <c r="E29" s="15" t="s">
        <v>49</v>
      </c>
      <c r="F29" s="16" t="str">
        <f t="shared" si="1"/>
        <v>Ecla</v>
      </c>
      <c r="G29" s="17">
        <v>44749</v>
      </c>
      <c r="H29" s="18">
        <v>4025</v>
      </c>
      <c r="I29" s="29" t="str">
        <f t="shared" si="2"/>
        <v>Low Sale Value</v>
      </c>
      <c r="J29" s="30">
        <v>112</v>
      </c>
      <c r="K29" s="31" t="str">
        <f>VLOOKUP(J29,Classification!$B$3:$C$8,2,TRUE)</f>
        <v>Sea</v>
      </c>
      <c r="L29" s="32">
        <f t="shared" si="3"/>
        <v>450800</v>
      </c>
    </row>
    <row r="30" spans="1:12">
      <c r="A30" s="14" t="s">
        <v>69</v>
      </c>
      <c r="B30" s="15" t="s">
        <v>70</v>
      </c>
      <c r="C30" s="16" t="str">
        <f t="shared" si="0"/>
        <v>Dennison Crosswaite</v>
      </c>
      <c r="D30" s="15" t="s">
        <v>36</v>
      </c>
      <c r="E30" s="15" t="s">
        <v>71</v>
      </c>
      <c r="F30" s="16" t="str">
        <f t="shared" si="1"/>
        <v>Whit</v>
      </c>
      <c r="G30" s="17">
        <v>44747</v>
      </c>
      <c r="H30" s="18">
        <v>9492</v>
      </c>
      <c r="I30" s="29" t="str">
        <f t="shared" si="2"/>
        <v>High Sale Value</v>
      </c>
      <c r="J30" s="30">
        <v>151</v>
      </c>
      <c r="K30" s="31" t="str">
        <f>VLOOKUP(J30,Classification!$B$3:$C$8,2,TRUE)</f>
        <v>Truck</v>
      </c>
      <c r="L30" s="32">
        <f t="shared" si="3"/>
        <v>1433292</v>
      </c>
    </row>
    <row r="31" spans="1:12">
      <c r="A31" s="14" t="s">
        <v>69</v>
      </c>
      <c r="B31" s="15" t="s">
        <v>70</v>
      </c>
      <c r="C31" s="16" t="str">
        <f t="shared" si="0"/>
        <v>Dennison Crosswaite</v>
      </c>
      <c r="D31" s="15" t="s">
        <v>36</v>
      </c>
      <c r="E31" s="15" t="s">
        <v>72</v>
      </c>
      <c r="F31" s="16" t="str">
        <f t="shared" si="1"/>
        <v>Manu</v>
      </c>
      <c r="G31" s="17">
        <v>44727</v>
      </c>
      <c r="H31" s="18">
        <v>5061</v>
      </c>
      <c r="I31" s="29" t="str">
        <f t="shared" si="2"/>
        <v>Low Sale Value</v>
      </c>
      <c r="J31" s="30">
        <v>301</v>
      </c>
      <c r="K31" s="31" t="str">
        <f>VLOOKUP(J31,Classification!$B$3:$C$8,2,TRUE)</f>
        <v>Truck</v>
      </c>
      <c r="L31" s="32">
        <f t="shared" si="3"/>
        <v>1523361</v>
      </c>
    </row>
    <row r="32" spans="1:12">
      <c r="A32" s="14" t="s">
        <v>27</v>
      </c>
      <c r="B32" s="15" t="s">
        <v>18</v>
      </c>
      <c r="C32" s="16" t="str">
        <f t="shared" si="0"/>
        <v>Van Tuxwell</v>
      </c>
      <c r="D32" s="15" t="s">
        <v>36</v>
      </c>
      <c r="E32" s="15" t="s">
        <v>20</v>
      </c>
      <c r="F32" s="16" t="str">
        <f t="shared" si="1"/>
        <v>85%</v>
      </c>
      <c r="G32" s="17">
        <v>44705</v>
      </c>
      <c r="H32" s="18">
        <v>1722</v>
      </c>
      <c r="I32" s="29" t="str">
        <f t="shared" si="2"/>
        <v>Low Sale Value</v>
      </c>
      <c r="J32" s="30">
        <v>121</v>
      </c>
      <c r="K32" s="31" t="str">
        <f>VLOOKUP(J32,Classification!$B$3:$C$8,2,TRUE)</f>
        <v>Sea</v>
      </c>
      <c r="L32" s="32">
        <f t="shared" si="3"/>
        <v>208362</v>
      </c>
    </row>
    <row r="33" spans="1:12">
      <c r="A33" s="14" t="s">
        <v>40</v>
      </c>
      <c r="B33" s="15" t="s">
        <v>41</v>
      </c>
      <c r="C33" s="16" t="str">
        <f t="shared" si="0"/>
        <v>Rafaelita Blaksland</v>
      </c>
      <c r="D33" s="15" t="s">
        <v>15</v>
      </c>
      <c r="E33" s="15" t="s">
        <v>31</v>
      </c>
      <c r="F33" s="16" t="str">
        <f t="shared" si="1"/>
        <v>99%</v>
      </c>
      <c r="G33" s="17">
        <v>44741</v>
      </c>
      <c r="H33" s="18">
        <v>12446</v>
      </c>
      <c r="I33" s="29" t="str">
        <f t="shared" si="2"/>
        <v>High Sale Value</v>
      </c>
      <c r="J33" s="30">
        <v>150</v>
      </c>
      <c r="K33" s="31" t="str">
        <f>VLOOKUP(J33,Classification!$B$3:$C$8,2,TRUE)</f>
        <v>Truck</v>
      </c>
      <c r="L33" s="32">
        <f t="shared" si="3"/>
        <v>1866900</v>
      </c>
    </row>
    <row r="34" spans="1:12">
      <c r="A34" s="14" t="s">
        <v>73</v>
      </c>
      <c r="B34" s="15" t="s">
        <v>74</v>
      </c>
      <c r="C34" s="16" t="str">
        <f t="shared" si="0"/>
        <v>Wilone O'Kielt</v>
      </c>
      <c r="D34" s="15" t="s">
        <v>26</v>
      </c>
      <c r="E34" s="15" t="s">
        <v>72</v>
      </c>
      <c r="F34" s="16" t="str">
        <f t="shared" si="1"/>
        <v>Manu</v>
      </c>
      <c r="G34" s="17">
        <v>44692</v>
      </c>
      <c r="H34" s="18">
        <v>4284</v>
      </c>
      <c r="I34" s="29" t="str">
        <f t="shared" si="2"/>
        <v>Low Sale Value</v>
      </c>
      <c r="J34" s="30">
        <v>94</v>
      </c>
      <c r="K34" s="31" t="str">
        <f>VLOOKUP(J34,Classification!$B$3:$C$8,2,TRUE)</f>
        <v>Sea</v>
      </c>
      <c r="L34" s="32">
        <f t="shared" si="3"/>
        <v>402696</v>
      </c>
    </row>
    <row r="35" spans="1:12">
      <c r="A35" s="14" t="s">
        <v>50</v>
      </c>
      <c r="B35" s="15" t="s">
        <v>51</v>
      </c>
      <c r="C35" s="16" t="str">
        <f t="shared" si="0"/>
        <v>Karlen McCaffrey</v>
      </c>
      <c r="D35" s="15" t="s">
        <v>15</v>
      </c>
      <c r="E35" s="15" t="s">
        <v>75</v>
      </c>
      <c r="F35" s="16" t="str">
        <f t="shared" si="1"/>
        <v>Almo</v>
      </c>
      <c r="G35" s="17">
        <v>44742</v>
      </c>
      <c r="H35" s="18">
        <v>6839</v>
      </c>
      <c r="I35" s="29" t="str">
        <f t="shared" si="2"/>
        <v>Low Sale Value</v>
      </c>
      <c r="J35" s="30">
        <v>133</v>
      </c>
      <c r="K35" s="31" t="str">
        <f>VLOOKUP(J35,Classification!$B$3:$C$8,2,TRUE)</f>
        <v>Sea</v>
      </c>
      <c r="L35" s="32">
        <f t="shared" si="3"/>
        <v>909587</v>
      </c>
    </row>
    <row r="36" spans="1:12">
      <c r="A36" s="14" t="s">
        <v>76</v>
      </c>
      <c r="B36" s="15" t="s">
        <v>77</v>
      </c>
      <c r="C36" s="16" t="str">
        <f t="shared" si="0"/>
        <v>Andria Kimpton</v>
      </c>
      <c r="D36" s="15" t="s">
        <v>48</v>
      </c>
      <c r="E36" s="15" t="s">
        <v>34</v>
      </c>
      <c r="F36" s="16" t="str">
        <f t="shared" si="1"/>
        <v>Afte</v>
      </c>
      <c r="G36" s="17">
        <v>44692</v>
      </c>
      <c r="H36" s="18">
        <v>2163</v>
      </c>
      <c r="I36" s="29" t="str">
        <f t="shared" si="2"/>
        <v>Low Sale Value</v>
      </c>
      <c r="J36" s="30">
        <v>70</v>
      </c>
      <c r="K36" s="31" t="str">
        <f>VLOOKUP(J36,Classification!$B$3:$C$8,2,TRUE)</f>
        <v>Air</v>
      </c>
      <c r="L36" s="32">
        <f t="shared" si="3"/>
        <v>151410</v>
      </c>
    </row>
    <row r="37" spans="1:12">
      <c r="A37" s="14" t="s">
        <v>58</v>
      </c>
      <c r="B37" s="15" t="s">
        <v>59</v>
      </c>
      <c r="C37" s="16" t="str">
        <f t="shared" si="0"/>
        <v>Roddy Speechley</v>
      </c>
      <c r="D37" s="15" t="s">
        <v>44</v>
      </c>
      <c r="E37" s="15" t="s">
        <v>72</v>
      </c>
      <c r="F37" s="16" t="str">
        <f t="shared" si="1"/>
        <v>Manu</v>
      </c>
      <c r="G37" s="17">
        <v>44764</v>
      </c>
      <c r="H37" s="18">
        <v>9583</v>
      </c>
      <c r="I37" s="29" t="str">
        <f t="shared" si="2"/>
        <v>High Sale Value</v>
      </c>
      <c r="J37" s="30">
        <v>315</v>
      </c>
      <c r="K37" s="31" t="str">
        <f>VLOOKUP(J37,Classification!$B$3:$C$8,2,TRUE)</f>
        <v>Truck</v>
      </c>
      <c r="L37" s="32">
        <f t="shared" si="3"/>
        <v>3018645</v>
      </c>
    </row>
    <row r="38" spans="1:12">
      <c r="A38" s="14" t="s">
        <v>76</v>
      </c>
      <c r="B38" s="15" t="s">
        <v>77</v>
      </c>
      <c r="C38" s="16" t="str">
        <f t="shared" si="0"/>
        <v>Andria Kimpton</v>
      </c>
      <c r="D38" s="15" t="s">
        <v>15</v>
      </c>
      <c r="E38" s="15" t="s">
        <v>37</v>
      </c>
      <c r="F38" s="16" t="str">
        <f t="shared" si="1"/>
        <v>50%</v>
      </c>
      <c r="G38" s="17">
        <v>44797</v>
      </c>
      <c r="H38" s="18">
        <v>2653</v>
      </c>
      <c r="I38" s="29" t="str">
        <f t="shared" si="2"/>
        <v>Low Sale Value</v>
      </c>
      <c r="J38" s="30">
        <v>314</v>
      </c>
      <c r="K38" s="31" t="str">
        <f>VLOOKUP(J38,Classification!$B$3:$C$8,2,TRUE)</f>
        <v>Truck</v>
      </c>
      <c r="L38" s="32">
        <f t="shared" si="3"/>
        <v>833042</v>
      </c>
    </row>
    <row r="39" spans="1:12">
      <c r="A39" s="14" t="s">
        <v>78</v>
      </c>
      <c r="B39" s="15" t="s">
        <v>79</v>
      </c>
      <c r="C39" s="16" t="str">
        <f t="shared" si="0"/>
        <v>Kelci Walkden</v>
      </c>
      <c r="D39" s="15" t="s">
        <v>36</v>
      </c>
      <c r="E39" s="15" t="s">
        <v>34</v>
      </c>
      <c r="F39" s="16" t="str">
        <f t="shared" si="1"/>
        <v>Afte</v>
      </c>
      <c r="G39" s="17">
        <v>44749</v>
      </c>
      <c r="H39" s="18">
        <v>147</v>
      </c>
      <c r="I39" s="29" t="str">
        <f t="shared" si="2"/>
        <v>Low Sale Value</v>
      </c>
      <c r="J39" s="30">
        <v>72</v>
      </c>
      <c r="K39" s="31" t="str">
        <f>VLOOKUP(J39,Classification!$B$3:$C$8,2,TRUE)</f>
        <v>Air</v>
      </c>
      <c r="L39" s="32">
        <f t="shared" si="3"/>
        <v>10584</v>
      </c>
    </row>
    <row r="40" spans="1:12">
      <c r="A40" s="14" t="s">
        <v>80</v>
      </c>
      <c r="B40" s="15" t="s">
        <v>81</v>
      </c>
      <c r="C40" s="16" t="str">
        <f t="shared" si="0"/>
        <v>Camilla Castle</v>
      </c>
      <c r="D40" s="15" t="s">
        <v>26</v>
      </c>
      <c r="E40" s="15" t="s">
        <v>20</v>
      </c>
      <c r="F40" s="16" t="str">
        <f t="shared" si="1"/>
        <v>85%</v>
      </c>
      <c r="G40" s="17">
        <v>44700</v>
      </c>
      <c r="H40" s="18">
        <v>3654</v>
      </c>
      <c r="I40" s="29" t="str">
        <f t="shared" si="2"/>
        <v>Low Sale Value</v>
      </c>
      <c r="J40" s="30">
        <v>14</v>
      </c>
      <c r="K40" s="31" t="str">
        <f>VLOOKUP(J40,Classification!$B$3:$C$8,2,TRUE)</f>
        <v>Pickup</v>
      </c>
      <c r="L40" s="32">
        <f t="shared" si="3"/>
        <v>51156</v>
      </c>
    </row>
    <row r="41" spans="1:12">
      <c r="A41" s="14" t="s">
        <v>50</v>
      </c>
      <c r="B41" s="15" t="s">
        <v>51</v>
      </c>
      <c r="C41" s="16" t="str">
        <f t="shared" si="0"/>
        <v>Karlen McCaffrey</v>
      </c>
      <c r="D41" s="15" t="s">
        <v>19</v>
      </c>
      <c r="E41" s="15" t="s">
        <v>72</v>
      </c>
      <c r="F41" s="16" t="str">
        <f t="shared" si="1"/>
        <v>Manu</v>
      </c>
      <c r="G41" s="17">
        <v>44746</v>
      </c>
      <c r="H41" s="18">
        <v>2443</v>
      </c>
      <c r="I41" s="29" t="str">
        <f t="shared" si="2"/>
        <v>Low Sale Value</v>
      </c>
      <c r="J41" s="30">
        <v>581</v>
      </c>
      <c r="K41" s="31" t="str">
        <f>VLOOKUP(J41,Classification!$B$3:$C$8,2,TRUE)</f>
        <v>Truck</v>
      </c>
      <c r="L41" s="32">
        <f t="shared" si="3"/>
        <v>1419383</v>
      </c>
    </row>
    <row r="42" spans="1:12">
      <c r="A42" s="14" t="s">
        <v>78</v>
      </c>
      <c r="B42" s="15" t="s">
        <v>79</v>
      </c>
      <c r="C42" s="16" t="str">
        <f t="shared" si="0"/>
        <v>Kelci Walkden</v>
      </c>
      <c r="D42" s="15" t="s">
        <v>44</v>
      </c>
      <c r="E42" s="15" t="s">
        <v>34</v>
      </c>
      <c r="F42" s="16" t="str">
        <f t="shared" si="1"/>
        <v>Afte</v>
      </c>
      <c r="G42" s="17">
        <v>44714</v>
      </c>
      <c r="H42" s="18">
        <v>938</v>
      </c>
      <c r="I42" s="29" t="str">
        <f t="shared" si="2"/>
        <v>Low Sale Value</v>
      </c>
      <c r="J42" s="30">
        <v>16</v>
      </c>
      <c r="K42" s="31" t="str">
        <f>VLOOKUP(J42,Classification!$B$3:$C$8,2,TRUE)</f>
        <v>Pickup</v>
      </c>
      <c r="L42" s="32">
        <f t="shared" si="3"/>
        <v>15008</v>
      </c>
    </row>
    <row r="43" spans="1:12">
      <c r="A43" s="14" t="s">
        <v>50</v>
      </c>
      <c r="B43" s="15" t="s">
        <v>51</v>
      </c>
      <c r="C43" s="16" t="str">
        <f t="shared" si="0"/>
        <v>Karlen McCaffrey</v>
      </c>
      <c r="D43" s="15" t="s">
        <v>44</v>
      </c>
      <c r="E43" s="15" t="s">
        <v>82</v>
      </c>
      <c r="F43" s="16" t="str">
        <f t="shared" si="1"/>
        <v>Rasp</v>
      </c>
      <c r="G43" s="17">
        <v>44666</v>
      </c>
      <c r="H43" s="18">
        <v>14749</v>
      </c>
      <c r="I43" s="29" t="str">
        <f t="shared" si="2"/>
        <v>High Sale Value</v>
      </c>
      <c r="J43" s="30">
        <v>354</v>
      </c>
      <c r="K43" s="31" t="str">
        <f>VLOOKUP(J43,Classification!$B$3:$C$8,2,TRUE)</f>
        <v>Truck</v>
      </c>
      <c r="L43" s="32">
        <f t="shared" si="3"/>
        <v>5221146</v>
      </c>
    </row>
    <row r="44" spans="1:12">
      <c r="A44" s="14" t="s">
        <v>46</v>
      </c>
      <c r="B44" s="15" t="s">
        <v>47</v>
      </c>
      <c r="C44" s="16" t="str">
        <f t="shared" si="0"/>
        <v>Mallorie Waber</v>
      </c>
      <c r="D44" s="15" t="s">
        <v>48</v>
      </c>
      <c r="E44" s="15" t="s">
        <v>83</v>
      </c>
      <c r="F44" s="16" t="str">
        <f t="shared" si="1"/>
        <v>Choc</v>
      </c>
      <c r="G44" s="17">
        <v>44753</v>
      </c>
      <c r="H44" s="18">
        <v>4781</v>
      </c>
      <c r="I44" s="29" t="str">
        <f t="shared" si="2"/>
        <v>Low Sale Value</v>
      </c>
      <c r="J44" s="30">
        <v>241</v>
      </c>
      <c r="K44" s="31" t="str">
        <f>VLOOKUP(J44,Classification!$B$3:$C$8,2,TRUE)</f>
        <v>Truck</v>
      </c>
      <c r="L44" s="32">
        <f t="shared" si="3"/>
        <v>1152221</v>
      </c>
    </row>
    <row r="45" spans="1:12">
      <c r="A45" s="14" t="s">
        <v>76</v>
      </c>
      <c r="B45" s="15" t="s">
        <v>77</v>
      </c>
      <c r="C45" s="16" t="str">
        <f t="shared" si="0"/>
        <v>Andria Kimpton</v>
      </c>
      <c r="D45" s="15" t="s">
        <v>19</v>
      </c>
      <c r="E45" s="15" t="s">
        <v>63</v>
      </c>
      <c r="F45" s="16" t="str">
        <f t="shared" si="1"/>
        <v>Spic</v>
      </c>
      <c r="G45" s="17">
        <v>44615</v>
      </c>
      <c r="H45" s="18">
        <v>6307</v>
      </c>
      <c r="I45" s="29" t="str">
        <f t="shared" si="2"/>
        <v>Low Sale Value</v>
      </c>
      <c r="J45" s="30">
        <v>142</v>
      </c>
      <c r="K45" s="31" t="str">
        <f>VLOOKUP(J45,Classification!$B$3:$C$8,2,TRUE)</f>
        <v>Sea</v>
      </c>
      <c r="L45" s="32">
        <f t="shared" si="3"/>
        <v>895594</v>
      </c>
    </row>
    <row r="46" spans="1:12">
      <c r="A46" s="14" t="s">
        <v>84</v>
      </c>
      <c r="B46" s="15" t="s">
        <v>85</v>
      </c>
      <c r="C46" s="16" t="str">
        <f t="shared" si="0"/>
        <v>Madelene Upcott</v>
      </c>
      <c r="D46" s="15" t="s">
        <v>48</v>
      </c>
      <c r="E46" s="15" t="s">
        <v>75</v>
      </c>
      <c r="F46" s="16" t="str">
        <f t="shared" si="1"/>
        <v>Almo</v>
      </c>
      <c r="G46" s="17">
        <v>44795</v>
      </c>
      <c r="H46" s="18">
        <v>7602</v>
      </c>
      <c r="I46" s="29" t="str">
        <f t="shared" si="2"/>
        <v>Low Sale Value</v>
      </c>
      <c r="J46" s="30">
        <v>102</v>
      </c>
      <c r="K46" s="31" t="str">
        <f>VLOOKUP(J46,Classification!$B$3:$C$8,2,TRUE)</f>
        <v>Sea</v>
      </c>
      <c r="L46" s="32">
        <f t="shared" si="3"/>
        <v>775404</v>
      </c>
    </row>
    <row r="47" spans="1:12">
      <c r="A47" s="14" t="s">
        <v>66</v>
      </c>
      <c r="B47" s="15" t="s">
        <v>67</v>
      </c>
      <c r="C47" s="16" t="str">
        <f t="shared" si="0"/>
        <v>Kaine Padly</v>
      </c>
      <c r="D47" s="15" t="s">
        <v>44</v>
      </c>
      <c r="E47" s="15" t="s">
        <v>23</v>
      </c>
      <c r="F47" s="16" t="str">
        <f t="shared" si="1"/>
        <v>Pean</v>
      </c>
      <c r="G47" s="17">
        <v>44608</v>
      </c>
      <c r="H47" s="18">
        <v>6790</v>
      </c>
      <c r="I47" s="29" t="str">
        <f t="shared" si="2"/>
        <v>Low Sale Value</v>
      </c>
      <c r="J47" s="30">
        <v>188</v>
      </c>
      <c r="K47" s="31" t="str">
        <f>VLOOKUP(J47,Classification!$B$3:$C$8,2,TRUE)</f>
        <v>Truck</v>
      </c>
      <c r="L47" s="32">
        <f t="shared" si="3"/>
        <v>1276520</v>
      </c>
    </row>
    <row r="48" spans="1:12">
      <c r="A48" s="14" t="s">
        <v>27</v>
      </c>
      <c r="B48" s="15" t="s">
        <v>18</v>
      </c>
      <c r="C48" s="16" t="str">
        <f t="shared" si="0"/>
        <v>Van Tuxwell</v>
      </c>
      <c r="D48" s="15" t="s">
        <v>44</v>
      </c>
      <c r="E48" s="15" t="s">
        <v>37</v>
      </c>
      <c r="F48" s="16" t="str">
        <f t="shared" si="1"/>
        <v>50%</v>
      </c>
      <c r="G48" s="17">
        <v>44574</v>
      </c>
      <c r="H48" s="18">
        <v>9737</v>
      </c>
      <c r="I48" s="29" t="str">
        <f t="shared" si="2"/>
        <v>High Sale Value</v>
      </c>
      <c r="J48" s="30">
        <v>160</v>
      </c>
      <c r="K48" s="31" t="str">
        <f>VLOOKUP(J48,Classification!$B$3:$C$8,2,TRUE)</f>
        <v>Truck</v>
      </c>
      <c r="L48" s="32">
        <f t="shared" si="3"/>
        <v>1557920</v>
      </c>
    </row>
    <row r="49" spans="1:12">
      <c r="A49" s="20" t="s">
        <v>86</v>
      </c>
      <c r="B49" s="21" t="s">
        <v>62</v>
      </c>
      <c r="C49" s="16" t="str">
        <f t="shared" si="0"/>
        <v>Curtice Advani</v>
      </c>
      <c r="D49" s="21" t="s">
        <v>26</v>
      </c>
      <c r="E49" s="21" t="s">
        <v>60</v>
      </c>
      <c r="F49" s="16" t="str">
        <f t="shared" si="1"/>
        <v>Milk</v>
      </c>
      <c r="G49" s="22">
        <v>44606</v>
      </c>
      <c r="H49" s="23">
        <v>6979</v>
      </c>
      <c r="I49" s="29" t="str">
        <f t="shared" si="2"/>
        <v>Low Sale Value</v>
      </c>
      <c r="J49" s="34">
        <v>18</v>
      </c>
      <c r="K49" s="31" t="str">
        <f>VLOOKUP(J49,Classification!$B$3:$C$8,2,TRUE)</f>
        <v>Pickup</v>
      </c>
      <c r="L49" s="32">
        <f t="shared" si="3"/>
        <v>125622</v>
      </c>
    </row>
    <row r="50" spans="1:12">
      <c r="A50" s="3" t="s">
        <v>58</v>
      </c>
      <c r="B50" s="3" t="s">
        <v>59</v>
      </c>
      <c r="C50" s="16" t="str">
        <f t="shared" si="0"/>
        <v>Roddy Speechley</v>
      </c>
      <c r="D50" s="3" t="s">
        <v>19</v>
      </c>
      <c r="E50" s="3" t="s">
        <v>49</v>
      </c>
      <c r="F50" s="16" t="str">
        <f t="shared" si="1"/>
        <v>Ecla</v>
      </c>
      <c r="G50" s="24">
        <v>44722</v>
      </c>
      <c r="H50" s="25">
        <v>4382</v>
      </c>
      <c r="I50" s="29" t="str">
        <f t="shared" si="2"/>
        <v>Low Sale Value</v>
      </c>
      <c r="J50" s="35">
        <v>303</v>
      </c>
      <c r="K50" s="31" t="str">
        <f>VLOOKUP(J50,Classification!$B$3:$C$8,2,TRUE)</f>
        <v>Truck</v>
      </c>
      <c r="L50" s="36">
        <f t="shared" si="3"/>
        <v>1327746</v>
      </c>
    </row>
  </sheetData>
  <conditionalFormatting sqref="H2:H50">
    <cfRule type="iconSet" priority="1">
      <iconSet iconSet="4TrafficLights">
        <cfvo type="percent" val="0"/>
        <cfvo type="num" val="5000"/>
        <cfvo type="num" val="8000"/>
        <cfvo type="num" val="1000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Classification</vt:lpstr>
      <vt:lpstr>Data</vt:lpstr>
      <vt:lpstr>Clean Data Use of formulas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Lydia Wafula</cp:lastModifiedBy>
  <dcterms:created xsi:type="dcterms:W3CDTF">2022-08-30T07:40:00Z</dcterms:created>
  <dcterms:modified xsi:type="dcterms:W3CDTF">2026-06-28T13:56:16Z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622425F26CC04FD58AEFBF3D031A8A09_13</vt:lpwstr>
  </property>
  <property fmtid="{D5CDD505-2E9C-101B-9397-08002B2CF9AE}" pid="3" name="KSOProductBuildVer">
    <vt:lpwstr>1033-12.2.0.21179</vt:lpwstr>
  </property>
</Properties>
</file>